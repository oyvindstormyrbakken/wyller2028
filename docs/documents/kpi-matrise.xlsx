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yvinds/Desktop/Wyllerloypa-2028-logo/"/>
    </mc:Choice>
  </mc:AlternateContent>
  <xr:revisionPtr revIDLastSave="0" documentId="13_ncr:1_{D6B2AD3A-885D-AE4B-A588-42B6A97AD40A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Dashboard" sheetId="1" r:id="rId1"/>
    <sheet name="KPI-matrise" sheetId="2" r:id="rId2"/>
    <sheet name="Toleranser" sheetId="3" r:id="rId3"/>
    <sheet name="Rapportering" sheetId="4" r:id="rId4"/>
    <sheet name="Kild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<sst xmlns="http://schemas.openxmlformats.org/spreadsheetml/2006/main" count="389" uniqueCount="278">
  <si>
    <t>KPI-matrise - World Cup Alpint Wyllerløypa 2028</t>
  </si>
  <si>
    <t>Wyllerløypa | Slalåm og parallellslalåm | Kvinner og menn</t>
  </si>
  <si>
    <t>PRINCE2-styringslogikk</t>
  </si>
  <si>
    <t>Åpne røde KPI-er</t>
  </si>
  <si>
    <t>Neste rapport</t>
  </si>
  <si>
    <t>Prosjekteier</t>
  </si>
  <si>
    <t>Business Case, Plans, Quality, Risk, Issues, Progress, Benefits og Bærekraft</t>
  </si>
  <si>
    <t>Månedlig / ukentlig siste 8 uker</t>
  </si>
  <si>
    <t>TBD</t>
  </si>
  <si>
    <t>Prioriterte dashboard-KPI-er</t>
  </si>
  <si>
    <t>Budsjettavvik og prognose</t>
  </si>
  <si>
    <t>Status</t>
  </si>
  <si>
    <t>Eier</t>
  </si>
  <si>
    <t>Kommentar</t>
  </si>
  <si>
    <t>Milepælsstatus</t>
  </si>
  <si>
    <t>Kritiske risikoer</t>
  </si>
  <si>
    <t>Løype-/FIS-godkjenning</t>
  </si>
  <si>
    <t>Sponsorinntekter</t>
  </si>
  <si>
    <t>Billettsalg / publikumskapasitet</t>
  </si>
  <si>
    <t>Frivillig dekning</t>
  </si>
  <si>
    <t>HMS-hendelser</t>
  </si>
  <si>
    <t>Vær- og snøberedskap</t>
  </si>
  <si>
    <t>Publikum-, utøver- og TV-/medietilfredshet</t>
  </si>
  <si>
    <t>Bærekraft: transport, avfall og innkjøp</t>
  </si>
  <si>
    <t>Åpne kritiske issues</t>
  </si>
  <si>
    <t>PRINCE2-område</t>
  </si>
  <si>
    <t>Strategisk mål</t>
  </si>
  <si>
    <t>KPI</t>
  </si>
  <si>
    <t>Målemetode</t>
  </si>
  <si>
    <t>Målforslag</t>
  </si>
  <si>
    <t>Toleranse / eskalering</t>
  </si>
  <si>
    <t>Frekvens</t>
  </si>
  <si>
    <t>Business Case</t>
  </si>
  <si>
    <t>Arrangementet skal være økonomisk og strategisk forsvarlig</t>
  </si>
  <si>
    <t>Netto prosjektresultat</t>
  </si>
  <si>
    <t>Budsjett vs. regnskap</t>
  </si>
  <si>
    <t>&gt;= 0 eller avtalt overskudd</t>
  </si>
  <si>
    <t>Eskaler ved prognose &gt;5 % negativt avvik</t>
  </si>
  <si>
    <t>Prosjekteier / økonomi</t>
  </si>
  <si>
    <t>Månedlig</t>
  </si>
  <si>
    <t>Ikke startet</t>
  </si>
  <si>
    <t>Sikre kommersiell finansiering</t>
  </si>
  <si>
    <t>Sponsorinntekter sikret</t>
  </si>
  <si>
    <t>Signerte avtaler</t>
  </si>
  <si>
    <t>100 % av sponsorbudsjett innen T-6 mnd</t>
  </si>
  <si>
    <t>Eskaler ved &lt;85 % innen T-6 mnd</t>
  </si>
  <si>
    <t>Kommersiell leder</t>
  </si>
  <si>
    <t>Skape verdi for Oslo, Wyllerløypa og norsk alpint</t>
  </si>
  <si>
    <t>Medie-/PR-verdi</t>
  </si>
  <si>
    <t>Medieovervåking, reach, annonseverdi</t>
  </si>
  <si>
    <t>Defineres i business case</t>
  </si>
  <si>
    <t>Eskaler ved prognose &lt;80 %</t>
  </si>
  <si>
    <t>Kommunikasjon</t>
  </si>
  <si>
    <t>Benefits</t>
  </si>
  <si>
    <t>Øke interesse for alpint og anlegget</t>
  </si>
  <si>
    <t>Publikumstall</t>
  </si>
  <si>
    <t>Billettsystem og adgangstelling</t>
  </si>
  <si>
    <t>90-100 % av kapasitet</t>
  </si>
  <si>
    <t>Tiltak ved &lt;75 % solgt T-1 mnd</t>
  </si>
  <si>
    <t>Publikum / billett</t>
  </si>
  <si>
    <t>Ukentlig siste 8 uker</t>
  </si>
  <si>
    <t>Styrke rekruttering og lokal idrett</t>
  </si>
  <si>
    <t>Antall klubb-/barnetiltak</t>
  </si>
  <si>
    <t>Registrerte aktiviteter</t>
  </si>
  <si>
    <t>Min. 3-5 lokale aktiveringer</t>
  </si>
  <si>
    <t>Eskaler hvis ikke planlagt T-9 mnd</t>
  </si>
  <si>
    <t>Lokal arrangør</t>
  </si>
  <si>
    <t>Plans / Tid</t>
  </si>
  <si>
    <t>Levere arrangementet etter milepælsplan</t>
  </si>
  <si>
    <t>Milepæler levert i tide</t>
  </si>
  <si>
    <t>Prosjektplan og stage reports</t>
  </si>
  <si>
    <t>&gt;= 95 % milepæler på tid</t>
  </si>
  <si>
    <t>Eskaler ved kritisk milepæl &gt;14 dager forsinket</t>
  </si>
  <si>
    <t>Prosjektleder</t>
  </si>
  <si>
    <t>Ukentlig</t>
  </si>
  <si>
    <t>Plans / Scope</t>
  </si>
  <si>
    <t>Levere avtalt konkurranseprogram</t>
  </si>
  <si>
    <t>Godkjente konkurransedager og grener</t>
  </si>
  <si>
    <t>FIS-/arrangementsplan</t>
  </si>
  <si>
    <t>Slalåm og parallellslalåm, kvinner og menn</t>
  </si>
  <si>
    <t>Eskaler hvis scope trues av vær, anlegg eller tillatelser</t>
  </si>
  <si>
    <t>Sportssjef</t>
  </si>
  <si>
    <t>Cost</t>
  </si>
  <si>
    <t>Holde prosjektet innen godkjent budsjett</t>
  </si>
  <si>
    <t>Kostnadsavvik</t>
  </si>
  <si>
    <t>Regnskapsrapport</t>
  </si>
  <si>
    <t>Innenfor godkjent budsjett</t>
  </si>
  <si>
    <t>Eskaler ved prognose &gt;5-10 % avvik</t>
  </si>
  <si>
    <t>Økonomi</t>
  </si>
  <si>
    <t>Quality</t>
  </si>
  <si>
    <t>Løype og teknisk leveranse skal møte FIS-krav</t>
  </si>
  <si>
    <t>Teknisk godkjenning</t>
  </si>
  <si>
    <t>FIS/TD-inspeksjon, homologering, test events</t>
  </si>
  <si>
    <t>100 % godkjent</t>
  </si>
  <si>
    <t>Nulltoleranse på manglende konkurransegodkjenning</t>
  </si>
  <si>
    <t>Sport / anlegg</t>
  </si>
  <si>
    <t>Ved stage gate</t>
  </si>
  <si>
    <t>Sikre topp utøveropplevelse</t>
  </si>
  <si>
    <t>Utøver-/teamtilfredshet</t>
  </si>
  <si>
    <t>Survey etter arrangement</t>
  </si>
  <si>
    <t>&gt;= 4,3 av 5</t>
  </si>
  <si>
    <t>Tiltak ved &lt;4,0</t>
  </si>
  <si>
    <t>Team services</t>
  </si>
  <si>
    <t>Etter arrangement</t>
  </si>
  <si>
    <t>Profesjonell publikumsopplevelse</t>
  </si>
  <si>
    <t>Publikumstilfredshet</t>
  </si>
  <si>
    <t>Survey, NPS, klager</t>
  </si>
  <si>
    <t>NPS &gt; 40 eller &gt;= 4,2 av 5</t>
  </si>
  <si>
    <t>Tiltak ved &lt;3,8</t>
  </si>
  <si>
    <t>Publikum</t>
  </si>
  <si>
    <t>Stabil TV- og medieproduksjon</t>
  </si>
  <si>
    <t>Sendekvalitet / produksjonsavvik</t>
  </si>
  <si>
    <t>Broadcaster-rapport</t>
  </si>
  <si>
    <t>Ingen kritiske avvik</t>
  </si>
  <si>
    <t>Eskaler alle kritiske avvik</t>
  </si>
  <si>
    <t>Media / broadcast</t>
  </si>
  <si>
    <t>Daglig under event</t>
  </si>
  <si>
    <t>Risk</t>
  </si>
  <si>
    <t>Redusere operasjonell arrangementsrisiko</t>
  </si>
  <si>
    <t>Åpne høyrisikoer</t>
  </si>
  <si>
    <t>Risk register</t>
  </si>
  <si>
    <t>0 uaksepterte røde risikoer ved T-1 mnd</t>
  </si>
  <si>
    <t>Eskaler alle røde risikoer uten tiltaksplan</t>
  </si>
  <si>
    <t>Risk manager</t>
  </si>
  <si>
    <t>Håndtere vær og snøforhold</t>
  </si>
  <si>
    <t>Snøsikkerhetsstatus</t>
  </si>
  <si>
    <t>Snøproduksjon, værdata, reserveplan</t>
  </si>
  <si>
    <t>Konkurranseklar løype innen avtalt dato</t>
  </si>
  <si>
    <t>Eskaler ved rød vær-/snøprognose</t>
  </si>
  <si>
    <t>Anlegg / sport</t>
  </si>
  <si>
    <t>Ukentlig, daglig siste uke</t>
  </si>
  <si>
    <t>Trygghet for publikum, frivillige og utøvere</t>
  </si>
  <si>
    <t>Avvikssystem</t>
  </si>
  <si>
    <t>0 alvorlige hendelser</t>
  </si>
  <si>
    <t>Umiddelbar eskalering ved alvorlig hendelse</t>
  </si>
  <si>
    <t>HMS-leder</t>
  </si>
  <si>
    <t>Issues / Endringer</t>
  </si>
  <si>
    <t>Kontrollere endringer uten å miste styring</t>
  </si>
  <si>
    <t>Antall åpne kritiske issues</t>
  </si>
  <si>
    <t>Issue register</t>
  </si>
  <si>
    <t>0 kritiske åpne før konkurransedag</t>
  </si>
  <si>
    <t>Eskaler kritiske issues &gt;24 timer åpne</t>
  </si>
  <si>
    <t>Beskytte scope og budsjett</t>
  </si>
  <si>
    <t>Endringer godkjent gjennom change control</t>
  </si>
  <si>
    <t>Endringslogg</t>
  </si>
  <si>
    <t>100 % vesentlige endringer formelt godkjent</t>
  </si>
  <si>
    <t>Eskaler uautoriserte scope-/kostendringer</t>
  </si>
  <si>
    <t>Organisering</t>
  </si>
  <si>
    <t>Tydelige roller og ansvar</t>
  </si>
  <si>
    <t>Rolledekning i prosjektorganisasjon</t>
  </si>
  <si>
    <t>RACI / rollebeskrivelser</t>
  </si>
  <si>
    <t>100 % nøkkelroller besatt</t>
  </si>
  <si>
    <t>Eskaler ubesatte nøkkelroller etter frist</t>
  </si>
  <si>
    <t>Effektiv samhandling med interessenter</t>
  </si>
  <si>
    <t>Status på interessentplan</t>
  </si>
  <si>
    <t>Møtelogg, beslutningslogg</t>
  </si>
  <si>
    <t>Alle nøkkelaktører aktivt fulgt opp</t>
  </si>
  <si>
    <t>Eskaler manglende avklaringer som påvirker milepæler</t>
  </si>
  <si>
    <t>Interessentansvarlig</t>
  </si>
  <si>
    <t>Presis informasjon til publikum og aktører</t>
  </si>
  <si>
    <t>Informasjon publisert til tid</t>
  </si>
  <si>
    <t>Kommunikasjonsplan</t>
  </si>
  <si>
    <t>100 % kritisk info publisert iht. plan</t>
  </si>
  <si>
    <t>Tiltak ved forsinket publikums-/trafikkinformasjon</t>
  </si>
  <si>
    <t>Frivillige</t>
  </si>
  <si>
    <t>Nok bemanning og god opplæring</t>
  </si>
  <si>
    <t>Vaktplan</t>
  </si>
  <si>
    <t>100 % kritiske vakter dekket</t>
  </si>
  <si>
    <t>Eskaler ved &lt;90 % dekning T-2 uker</t>
  </si>
  <si>
    <t>Frivilligleder</t>
  </si>
  <si>
    <t>God frivilligopplevelse</t>
  </si>
  <si>
    <t>Frivilligtilfredshet</t>
  </si>
  <si>
    <t>Survey</t>
  </si>
  <si>
    <t>&gt;= 4,2 av 5</t>
  </si>
  <si>
    <t>Bærekraft</t>
  </si>
  <si>
    <t>Redusere klima- og miljøbelastning</t>
  </si>
  <si>
    <t>Andel kollektiv-/samtransport</t>
  </si>
  <si>
    <t>Reiseundersøkelse, billettdata</t>
  </si>
  <si>
    <t>&gt;60 % publikum via kollektiv/shuttle</t>
  </si>
  <si>
    <t>Tiltak ved lav forhåndsandel</t>
  </si>
  <si>
    <t>Bærekraftsansvarlig</t>
  </si>
  <si>
    <t>Avfalls- og ressurskontroll</t>
  </si>
  <si>
    <t>Sorteringsgrad</t>
  </si>
  <si>
    <t>Avfallsrapport</t>
  </si>
  <si>
    <t>&gt;70 % sortering</t>
  </si>
  <si>
    <t>Tiltak ved &lt;60 %</t>
  </si>
  <si>
    <t>Lokal forankring og ansvarlig innkjøp</t>
  </si>
  <si>
    <t>Andel lokale/sertifiserte leverandører</t>
  </si>
  <si>
    <t>Innkjøpsrapport</t>
  </si>
  <si>
    <t>Defineres i bærekraftsplan</t>
  </si>
  <si>
    <t>Eskaler ved vesentlige avvik fra policy</t>
  </si>
  <si>
    <t>Innkjøp</t>
  </si>
  <si>
    <t>Progress</t>
  </si>
  <si>
    <t>Gi styret reell kontroll</t>
  </si>
  <si>
    <t>Highlight reports levert</t>
  </si>
  <si>
    <t>Rapportkalender</t>
  </si>
  <si>
    <t>100 % rapporter levert</t>
  </si>
  <si>
    <t>Eskaler manglende rapportering</t>
  </si>
  <si>
    <t>Lære underveis og etterpå</t>
  </si>
  <si>
    <t>Lessons log oppdatert</t>
  </si>
  <si>
    <t>Lessons register</t>
  </si>
  <si>
    <t>Oppdatert ved hver faseovergang</t>
  </si>
  <si>
    <t>Må gjennomgås før neste stage godkjennes</t>
  </si>
  <si>
    <t>PRINCE2-toleranser for prosjektstyret</t>
  </si>
  <si>
    <t>Toleranse</t>
  </si>
  <si>
    <t>Defineres i</t>
  </si>
  <si>
    <t>Anbefalt styring for Wyllerløypa 2028</t>
  </si>
  <si>
    <t>Eskalering</t>
  </si>
  <si>
    <t>Tid</t>
  </si>
  <si>
    <t>Prosjektplan / stage plan</t>
  </si>
  <si>
    <t>Kritiske milepæler rapporteres ukentlig</t>
  </si>
  <si>
    <t>Forsinkelse &gt;14 dager på kritisk milepæl</t>
  </si>
  <si>
    <t>Kost</t>
  </si>
  <si>
    <t>Business case / budsjett</t>
  </si>
  <si>
    <t>Månedlig prognose mot budsjett</t>
  </si>
  <si>
    <t>Prognose &gt;5-10 % negativt avvik</t>
  </si>
  <si>
    <t>Kvalitet</t>
  </si>
  <si>
    <t>Produktbeskrivelser / quality approach</t>
  </si>
  <si>
    <t>FIS/TD, løype, publikum, TV og HMS</t>
  </si>
  <si>
    <t>Manglende konkurransegodkjenning eller kritisk kvalitetsavvik</t>
  </si>
  <si>
    <t>Scope</t>
  </si>
  <si>
    <t>Project product description</t>
  </si>
  <si>
    <t>Slalåm og parallellslalåm for kvinner og menn</t>
  </si>
  <si>
    <t>Endringer i grener, dager, arena eller leveranser</t>
  </si>
  <si>
    <t>Risiko</t>
  </si>
  <si>
    <t>Risk management approach / risk register</t>
  </si>
  <si>
    <t>Røde risikoer må ha eier og tiltaksplan</t>
  </si>
  <si>
    <t>Rød risiko uten tiltaksplan</t>
  </si>
  <si>
    <t>Gevinster</t>
  </si>
  <si>
    <t>Business case / benefits approach</t>
  </si>
  <si>
    <t>Publikum, PR-verdi, lokal rekruttering, anleggseffekt</t>
  </si>
  <si>
    <t>Prognose &lt;80 % av gevinstmål</t>
  </si>
  <si>
    <t>Sustainability management approach</t>
  </si>
  <si>
    <t>Transport, avfall, innkjøp, energi og lokal verdiskaping</t>
  </si>
  <si>
    <t>Vesentlige avvik fra bærekraftsplan</t>
  </si>
  <si>
    <t>Rapporteringsrytme</t>
  </si>
  <si>
    <t>Nivå</t>
  </si>
  <si>
    <t>Bruk</t>
  </si>
  <si>
    <t>Prosjektstyre</t>
  </si>
  <si>
    <t>Månedlig, deretter ukentlig siste 8 uker</t>
  </si>
  <si>
    <t>Beslutninger, unntak, budsjett, risiko</t>
  </si>
  <si>
    <t>Fremdrift, avvik, tiltak</t>
  </si>
  <si>
    <t>Delprosjekter</t>
  </si>
  <si>
    <t>Ukentlig / daglig nær arrangement</t>
  </si>
  <si>
    <t>Løype, sport, publikum, media, frivillige, sikkerhet</t>
  </si>
  <si>
    <t>Arrangementsdager</t>
  </si>
  <si>
    <t>Daglig / sanntid</t>
  </si>
  <si>
    <t>HMS, vær, trafikk, publikum, konkurransegjennomføring</t>
  </si>
  <si>
    <t>Stage gates</t>
  </si>
  <si>
    <t>T-18 mnd</t>
  </si>
  <si>
    <t>Prosjektinitiering</t>
  </si>
  <si>
    <t>Business case, organisering, FIS-/arena-avklaringer</t>
  </si>
  <si>
    <t>T-12 mnd</t>
  </si>
  <si>
    <t>Leveranseplan låses</t>
  </si>
  <si>
    <t>Budsjett, sponsorplan, tillatelser, løypeplan</t>
  </si>
  <si>
    <t>T-6 mnd</t>
  </si>
  <si>
    <t>Operasjonell beredskap</t>
  </si>
  <si>
    <t>Frivillige, sikkerhet, publikum, medieproduksjon</t>
  </si>
  <si>
    <t>T-1 mnd</t>
  </si>
  <si>
    <t>Go/no-go kontroll</t>
  </si>
  <si>
    <t>Risiko, snø, HMS, logistikk, endringskontroll</t>
  </si>
  <si>
    <t>T+1 mnd</t>
  </si>
  <si>
    <t>Lukking og gevinster</t>
  </si>
  <si>
    <t>Lessons report, regnskap, gevinstmåling</t>
  </si>
  <si>
    <t>Kilder og forutsetninger</t>
  </si>
  <si>
    <t>Kilde / premiss</t>
  </si>
  <si>
    <t>Bruk i arbeidsboken</t>
  </si>
  <si>
    <t>PRINCE2 7-praksiser</t>
  </si>
  <si>
    <t>Business Case, Organizing, Quality, Plans, Risk, Issues og Progress</t>
  </si>
  <si>
    <t>PRINCE2-toleranser</t>
  </si>
  <si>
    <t>Tid, kost, kvalitet, scope, risiko, gevinster og bærekraft</t>
  </si>
  <si>
    <t>Arrangementspremiss</t>
  </si>
  <si>
    <t>World Cup Alpint Wyllerløypa 2028: slalåm og parallellslalåm for kvinner og menn</t>
  </si>
  <si>
    <t>Måltall</t>
  </si>
  <si>
    <t>Foreløpige målforslag. Bør kalibreres mot endelig budsjett, arenaavtale, kapasitet og FIS-krav.</t>
  </si>
  <si>
    <t>Sist generert</t>
  </si>
  <si>
    <t>2026-06-10 14:43</t>
  </si>
  <si>
    <t>Antall Mål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</si>
</sst>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1F2937"/>
      <name val="Calibri"/>
      <family val="2"/>
    </font>
    <font>
      <b/>
      <sz val="18"/>
      <color rgb="FFFFFFFF"/>
      <name val="Calibri"/>
      <family val="2"/>
    </font>
    <font>
      <b/>
      <sz val="11"/>
      <color rgb="FF0F172A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2355B"/>
        <bgColor indexed="64"/>
      </patternFill>
    </fill>
    <fill>
      <patternFill patternType="solid">
        <fgColor rgb="FFE6F2FF"/>
        <bgColor indexed="64"/>
      </patternFill>
    </fill>
    <fill>
      <patternFill patternType="solid">
        <fgColor rgb="FFDBEAFE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1" xfId="0" applyBorder="1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opLeftCell="A2" zoomScale="160" zoomScaleNormal="160" workbookViewId="0">
      <selection activeCell="C11" sqref="C11"/>
    </sheetView>
  </sheetViews>
  <sheetFormatPr baseColWidth="10" defaultColWidth="8.83203125" defaultRowHeight="15" x14ac:dyDescent="0.2"/>
  <cols>
    <col min="1" max="1" width="18" customWidth="1"/>
    <col min="2" max="2" width="50" customWidth="1"/>
    <col min="3" max="3" width="18" customWidth="1"/>
    <col min="4" max="4" width="26" customWidth="1"/>
    <col min="5" max="5" width="28" customWidth="1"/>
  </cols>
  <sheetData>
    <row r="1" spans="1:5" ht="30" customHeight="1" x14ac:dyDescent="0.2">
      <c r="A1" s="3" t="s">
        <v>0</v>
      </c>
      <c r="B1" s="4"/>
      <c r="C1" s="4"/>
      <c r="D1" s="4"/>
      <c r="E1" s="4"/>
    </row>
    <row r="2" spans="1:5" x14ac:dyDescent="0.2">
      <c r="A2" s="5" t="s">
        <v>1</v>
      </c>
      <c r="B2" s="4"/>
      <c r="C2" s="4"/>
      <c r="D2" s="4"/>
      <c r="E2" s="4"/>
    </row>
    <row r="4" spans="1:5" ht="32" x14ac:dyDescent="0.2">
      <c r="A4" s="1" t="s">
        <v>2</v>
      </c>
      <c r="B4" s="1" t="s">
        <v>277</v>
      </c>
      <c r="C4" s="1" t="s">
        <v>3</v>
      </c>
      <c r="D4" s="1" t="s">
        <v>4</v>
      </c>
      <c r="E4" s="1" t="s">
        <v>5</v>
      </c>
    </row>
    <row r="5" spans="1:5" ht="64" x14ac:dyDescent="0.2">
      <c r="A5" s="2" t="s">
        <v>6</v>
      </c>
      <c r="B5" s="2">
        <f>COUNTA('KPI-matrise'!C2:C200)</f>
        <v>27</v>
      </c>
      <c r="C5" s="2">
        <v>0</v>
      </c>
      <c r="D5" s="2" t="s">
        <v>7</v>
      </c>
      <c r="E5" s="2" t="s">
        <v>8</v>
      </c>
    </row>
    <row r="7" spans="1:5" ht="32" x14ac:dyDescent="0.2">
      <c r="A7" s="1" t="s">
        <v>9</v>
      </c>
    </row>
    <row r="8" spans="1:5" ht="16" x14ac:dyDescent="0.2">
      <c r="A8">
        <v>1</v>
      </c>
      <c r="B8" t="s">
        <v>10</v>
      </c>
      <c r="C8" t="s">
        <v>11</v>
      </c>
      <c r="D8" t="s">
        <v>12</v>
      </c>
      <c r="E8" t="s">
        <v>13</v>
      </c>
    </row>
    <row r="9" spans="1:5" ht="16" x14ac:dyDescent="0.2">
      <c r="A9">
        <v>2</v>
      </c>
      <c r="B9" t="s">
        <v>14</v>
      </c>
      <c r="C9" t="s">
        <v>11</v>
      </c>
      <c r="D9" t="s">
        <v>12</v>
      </c>
      <c r="E9" t="s">
        <v>13</v>
      </c>
    </row>
    <row r="10" spans="1:5" ht="16" x14ac:dyDescent="0.2">
      <c r="A10">
        <v>3</v>
      </c>
      <c r="B10" t="s">
        <v>15</v>
      </c>
      <c r="C10" t="s">
        <v>11</v>
      </c>
      <c r="D10" t="s">
        <v>12</v>
      </c>
      <c r="E10" t="s">
        <v>13</v>
      </c>
    </row>
    <row r="11" spans="1:5" ht="16" x14ac:dyDescent="0.2">
      <c r="A11">
        <v>4</v>
      </c>
      <c r="B11" t="s">
        <v>16</v>
      </c>
      <c r="C11" t="s">
        <v>11</v>
      </c>
      <c r="D11" t="s">
        <v>12</v>
      </c>
      <c r="E11" t="s">
        <v>13</v>
      </c>
    </row>
    <row r="12" spans="1:5" ht="16" x14ac:dyDescent="0.2">
      <c r="A12">
        <v>5</v>
      </c>
      <c r="B12" t="s">
        <v>17</v>
      </c>
      <c r="C12" t="s">
        <v>11</v>
      </c>
      <c r="D12" t="s">
        <v>12</v>
      </c>
      <c r="E12" t="s">
        <v>13</v>
      </c>
    </row>
    <row r="13" spans="1:5" ht="16" x14ac:dyDescent="0.2">
      <c r="A13">
        <v>6</v>
      </c>
      <c r="B13" t="s">
        <v>18</v>
      </c>
      <c r="C13" t="s">
        <v>11</v>
      </c>
      <c r="D13" t="s">
        <v>12</v>
      </c>
      <c r="E13" t="s">
        <v>13</v>
      </c>
    </row>
    <row r="14" spans="1:5" ht="16" x14ac:dyDescent="0.2">
      <c r="A14">
        <v>7</v>
      </c>
      <c r="B14" t="s">
        <v>19</v>
      </c>
      <c r="C14" t="s">
        <v>11</v>
      </c>
      <c r="D14" t="s">
        <v>12</v>
      </c>
      <c r="E14" t="s">
        <v>13</v>
      </c>
    </row>
    <row r="15" spans="1:5" ht="16" x14ac:dyDescent="0.2">
      <c r="A15">
        <v>8</v>
      </c>
      <c r="B15" t="s">
        <v>20</v>
      </c>
      <c r="C15" t="s">
        <v>11</v>
      </c>
      <c r="D15" t="s">
        <v>12</v>
      </c>
      <c r="E15" t="s">
        <v>13</v>
      </c>
    </row>
    <row r="16" spans="1:5" ht="16" x14ac:dyDescent="0.2">
      <c r="A16">
        <v>9</v>
      </c>
      <c r="B16" t="s">
        <v>21</v>
      </c>
      <c r="C16" t="s">
        <v>11</v>
      </c>
      <c r="D16" t="s">
        <v>12</v>
      </c>
      <c r="E16" t="s">
        <v>13</v>
      </c>
    </row>
    <row r="17" spans="1:5" ht="16" x14ac:dyDescent="0.2">
      <c r="A17">
        <v>10</v>
      </c>
      <c r="B17" t="s">
        <v>22</v>
      </c>
      <c r="C17" t="s">
        <v>11</v>
      </c>
      <c r="D17" t="s">
        <v>12</v>
      </c>
      <c r="E17" t="s">
        <v>13</v>
      </c>
    </row>
    <row r="18" spans="1:5" ht="16" x14ac:dyDescent="0.2">
      <c r="A18">
        <v>11</v>
      </c>
      <c r="B18" t="s">
        <v>23</v>
      </c>
      <c r="C18" t="s">
        <v>11</v>
      </c>
      <c r="D18" t="s">
        <v>12</v>
      </c>
      <c r="E18" t="s">
        <v>13</v>
      </c>
    </row>
    <row r="19" spans="1:5" ht="16" x14ac:dyDescent="0.2">
      <c r="A19">
        <v>12</v>
      </c>
      <c r="B19" t="s">
        <v>24</v>
      </c>
      <c r="C19" t="s">
        <v>11</v>
      </c>
      <c r="D19" t="s">
        <v>12</v>
      </c>
      <c r="E19" t="s">
        <v>13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tabSelected="1" topLeftCell="B1" zoomScale="160" zoomScaleNormal="160" workbookViewId="0">
      <pane ySplit="1" topLeftCell="A3" activePane="bottomLeft" state="frozen"/>
      <selection pane="bottomLeft" activeCell="F5" sqref="F5"/>
    </sheetView>
  </sheetViews>
  <sheetFormatPr baseColWidth="10" defaultColWidth="8.83203125" defaultRowHeight="15" x14ac:dyDescent="0.2"/>
  <cols>
    <col min="1" max="1" width="20" customWidth="1"/>
    <col min="2" max="2" width="40" customWidth="1"/>
    <col min="3" max="3" width="32" customWidth="1"/>
    <col min="4" max="5" width="34" customWidth="1"/>
    <col min="6" max="6" width="44" customWidth="1"/>
    <col min="7" max="7" width="22" customWidth="1"/>
    <col min="8" max="8" width="24" customWidth="1"/>
    <col min="9" max="9" width="18" customWidth="1"/>
  </cols>
  <sheetData>
    <row r="1" spans="1:9" ht="24" customHeight="1" x14ac:dyDescent="0.2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12</v>
      </c>
      <c r="H1" s="1" t="s">
        <v>31</v>
      </c>
      <c r="I1" s="1" t="s">
        <v>11</v>
      </c>
    </row>
    <row r="2" spans="1:9" ht="42" customHeight="1" x14ac:dyDescent="0.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</row>
    <row r="3" spans="1:9" ht="42" customHeight="1" x14ac:dyDescent="0.2">
      <c r="A3" t="s">
        <v>32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39</v>
      </c>
      <c r="I3" t="s">
        <v>40</v>
      </c>
    </row>
    <row r="4" spans="1:9" ht="42" customHeight="1" x14ac:dyDescent="0.2">
      <c r="A4" t="s">
        <v>32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 t="s">
        <v>39</v>
      </c>
      <c r="I4" t="s">
        <v>40</v>
      </c>
    </row>
    <row r="5" spans="1:9" ht="42" customHeight="1" x14ac:dyDescent="0.2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40</v>
      </c>
    </row>
    <row r="6" spans="1:9" ht="42" customHeight="1" x14ac:dyDescent="0.2">
      <c r="A6" t="s">
        <v>53</v>
      </c>
      <c r="B6" t="s">
        <v>61</v>
      </c>
      <c r="C6" t="s">
        <v>62</v>
      </c>
      <c r="D6" t="s">
        <v>63</v>
      </c>
      <c r="E6" t="s">
        <v>64</v>
      </c>
      <c r="F6" t="s">
        <v>65</v>
      </c>
      <c r="G6" t="s">
        <v>66</v>
      </c>
      <c r="H6" t="s">
        <v>39</v>
      </c>
      <c r="I6" t="s">
        <v>40</v>
      </c>
    </row>
    <row r="7" spans="1:9" ht="42" customHeight="1" x14ac:dyDescent="0.2">
      <c r="A7" t="s">
        <v>67</v>
      </c>
      <c r="B7" t="s">
        <v>68</v>
      </c>
      <c r="C7" t="s">
        <v>69</v>
      </c>
      <c r="D7" t="s">
        <v>70</v>
      </c>
      <c r="E7" t="s">
        <v>71</v>
      </c>
      <c r="F7" t="s">
        <v>72</v>
      </c>
      <c r="G7" t="s">
        <v>73</v>
      </c>
      <c r="H7" t="s">
        <v>74</v>
      </c>
      <c r="I7" t="s">
        <v>40</v>
      </c>
    </row>
    <row r="8" spans="1:9" ht="42" customHeight="1" x14ac:dyDescent="0.2">
      <c r="A8" t="s">
        <v>75</v>
      </c>
      <c r="B8" t="s">
        <v>76</v>
      </c>
      <c r="C8" t="s">
        <v>77</v>
      </c>
      <c r="D8" t="s">
        <v>78</v>
      </c>
      <c r="E8" t="s">
        <v>79</v>
      </c>
      <c r="F8" t="s">
        <v>80</v>
      </c>
      <c r="G8" t="s">
        <v>81</v>
      </c>
      <c r="H8" t="s">
        <v>39</v>
      </c>
      <c r="I8" t="s">
        <v>40</v>
      </c>
    </row>
    <row r="9" spans="1:9" ht="42" customHeight="1" x14ac:dyDescent="0.2">
      <c r="A9" t="s">
        <v>82</v>
      </c>
      <c r="B9" t="s">
        <v>83</v>
      </c>
      <c r="C9" t="s">
        <v>84</v>
      </c>
      <c r="D9" t="s">
        <v>85</v>
      </c>
      <c r="E9" t="s">
        <v>86</v>
      </c>
      <c r="F9" t="s">
        <v>87</v>
      </c>
      <c r="G9" t="s">
        <v>88</v>
      </c>
      <c r="H9" t="s">
        <v>39</v>
      </c>
      <c r="I9" t="s">
        <v>40</v>
      </c>
    </row>
    <row r="10" spans="1:9" ht="42" customHeight="1" x14ac:dyDescent="0.2">
      <c r="A10" t="s">
        <v>89</v>
      </c>
      <c r="B10" t="s">
        <v>90</v>
      </c>
      <c r="C10" t="s">
        <v>91</v>
      </c>
      <c r="D10" t="s">
        <v>92</v>
      </c>
      <c r="E10" t="s">
        <v>93</v>
      </c>
      <c r="F10" t="s">
        <v>94</v>
      </c>
      <c r="G10" t="s">
        <v>95</v>
      </c>
      <c r="H10" t="s">
        <v>96</v>
      </c>
      <c r="I10" t="s">
        <v>40</v>
      </c>
    </row>
    <row r="11" spans="1:9" ht="42" customHeight="1" x14ac:dyDescent="0.2">
      <c r="A11" t="s">
        <v>89</v>
      </c>
      <c r="B11" t="s">
        <v>97</v>
      </c>
      <c r="C11" t="s">
        <v>98</v>
      </c>
      <c r="D11" t="s">
        <v>99</v>
      </c>
      <c r="E11" t="s">
        <v>100</v>
      </c>
      <c r="F11" t="s">
        <v>101</v>
      </c>
      <c r="G11" t="s">
        <v>102</v>
      </c>
      <c r="H11" t="s">
        <v>103</v>
      </c>
      <c r="I11" t="s">
        <v>40</v>
      </c>
    </row>
    <row r="12" spans="1:9" ht="42" customHeight="1" x14ac:dyDescent="0.2">
      <c r="A12" t="s">
        <v>89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 t="s">
        <v>109</v>
      </c>
      <c r="H12" t="s">
        <v>103</v>
      </c>
      <c r="I12" t="s">
        <v>40</v>
      </c>
    </row>
    <row r="13" spans="1:9" ht="42" customHeight="1" x14ac:dyDescent="0.2">
      <c r="A13" t="s">
        <v>89</v>
      </c>
      <c r="B13" t="s">
        <v>110</v>
      </c>
      <c r="C13" t="s">
        <v>111</v>
      </c>
      <c r="D13" t="s">
        <v>112</v>
      </c>
      <c r="E13" t="s">
        <v>113</v>
      </c>
      <c r="F13" t="s">
        <v>114</v>
      </c>
      <c r="G13" t="s">
        <v>115</v>
      </c>
      <c r="H13" t="s">
        <v>116</v>
      </c>
      <c r="I13" t="s">
        <v>40</v>
      </c>
    </row>
    <row r="14" spans="1:9" ht="42" customHeight="1" x14ac:dyDescent="0.2">
      <c r="A14" t="s">
        <v>117</v>
      </c>
      <c r="B14" t="s">
        <v>118</v>
      </c>
      <c r="C14" t="s">
        <v>119</v>
      </c>
      <c r="D14" t="s">
        <v>120</v>
      </c>
      <c r="E14" t="s">
        <v>121</v>
      </c>
      <c r="F14" t="s">
        <v>122</v>
      </c>
      <c r="G14" t="s">
        <v>123</v>
      </c>
      <c r="H14" t="s">
        <v>74</v>
      </c>
      <c r="I14" t="s">
        <v>40</v>
      </c>
    </row>
    <row r="15" spans="1:9" ht="42" customHeight="1" x14ac:dyDescent="0.2">
      <c r="A15" t="s">
        <v>117</v>
      </c>
      <c r="B15" t="s">
        <v>124</v>
      </c>
      <c r="C15" t="s">
        <v>125</v>
      </c>
      <c r="D15" t="s">
        <v>126</v>
      </c>
      <c r="E15" t="s">
        <v>127</v>
      </c>
      <c r="F15" t="s">
        <v>128</v>
      </c>
      <c r="G15" t="s">
        <v>129</v>
      </c>
      <c r="H15" t="s">
        <v>130</v>
      </c>
      <c r="I15" t="s">
        <v>40</v>
      </c>
    </row>
    <row r="16" spans="1:9" ht="42" customHeight="1" x14ac:dyDescent="0.2">
      <c r="A16" t="s">
        <v>117</v>
      </c>
      <c r="B16" t="s">
        <v>131</v>
      </c>
      <c r="C16" t="s">
        <v>20</v>
      </c>
      <c r="D16" t="s">
        <v>132</v>
      </c>
      <c r="E16" t="s">
        <v>133</v>
      </c>
      <c r="F16" t="s">
        <v>134</v>
      </c>
      <c r="G16" t="s">
        <v>135</v>
      </c>
      <c r="H16" t="s">
        <v>116</v>
      </c>
      <c r="I16" t="s">
        <v>40</v>
      </c>
    </row>
    <row r="17" spans="1:9" ht="42" customHeight="1" x14ac:dyDescent="0.2">
      <c r="A17" t="s">
        <v>136</v>
      </c>
      <c r="B17" t="s">
        <v>137</v>
      </c>
      <c r="C17" t="s">
        <v>138</v>
      </c>
      <c r="D17" t="s">
        <v>139</v>
      </c>
      <c r="E17" t="s">
        <v>140</v>
      </c>
      <c r="F17" t="s">
        <v>141</v>
      </c>
      <c r="G17" t="s">
        <v>73</v>
      </c>
      <c r="H17" t="s">
        <v>74</v>
      </c>
      <c r="I17" t="s">
        <v>40</v>
      </c>
    </row>
    <row r="18" spans="1:9" ht="42" customHeight="1" x14ac:dyDescent="0.2">
      <c r="A18" t="s">
        <v>136</v>
      </c>
      <c r="B18" t="s">
        <v>142</v>
      </c>
      <c r="C18" t="s">
        <v>143</v>
      </c>
      <c r="D18" t="s">
        <v>144</v>
      </c>
      <c r="E18" t="s">
        <v>145</v>
      </c>
      <c r="F18" t="s">
        <v>146</v>
      </c>
      <c r="G18" t="s">
        <v>73</v>
      </c>
      <c r="H18" t="s">
        <v>39</v>
      </c>
      <c r="I18" t="s">
        <v>40</v>
      </c>
    </row>
    <row r="19" spans="1:9" ht="42" customHeight="1" x14ac:dyDescent="0.2">
      <c r="A19" t="s">
        <v>147</v>
      </c>
      <c r="B19" t="s">
        <v>148</v>
      </c>
      <c r="C19" t="s">
        <v>149</v>
      </c>
      <c r="D19" t="s">
        <v>150</v>
      </c>
      <c r="E19" t="s">
        <v>151</v>
      </c>
      <c r="F19" t="s">
        <v>152</v>
      </c>
      <c r="G19" t="s">
        <v>5</v>
      </c>
      <c r="H19" t="s">
        <v>39</v>
      </c>
      <c r="I19" t="s">
        <v>40</v>
      </c>
    </row>
    <row r="20" spans="1:9" ht="42" customHeight="1" x14ac:dyDescent="0.2">
      <c r="A20" t="s">
        <v>147</v>
      </c>
      <c r="B20" t="s">
        <v>153</v>
      </c>
      <c r="C20" t="s">
        <v>154</v>
      </c>
      <c r="D20" t="s">
        <v>155</v>
      </c>
      <c r="E20" t="s">
        <v>156</v>
      </c>
      <c r="F20" t="s">
        <v>157</v>
      </c>
      <c r="G20" t="s">
        <v>158</v>
      </c>
      <c r="H20" t="s">
        <v>39</v>
      </c>
      <c r="I20" t="s">
        <v>40</v>
      </c>
    </row>
    <row r="21" spans="1:9" ht="42" customHeight="1" x14ac:dyDescent="0.2">
      <c r="A21" t="s">
        <v>52</v>
      </c>
      <c r="B21" t="s">
        <v>159</v>
      </c>
      <c r="C21" t="s">
        <v>160</v>
      </c>
      <c r="D21" t="s">
        <v>161</v>
      </c>
      <c r="E21" t="s">
        <v>162</v>
      </c>
      <c r="F21" t="s">
        <v>163</v>
      </c>
      <c r="G21" t="s">
        <v>52</v>
      </c>
      <c r="H21" t="s">
        <v>60</v>
      </c>
      <c r="I21" t="s">
        <v>40</v>
      </c>
    </row>
    <row r="22" spans="1:9" ht="42" customHeight="1" x14ac:dyDescent="0.2">
      <c r="A22" t="s">
        <v>164</v>
      </c>
      <c r="B22" t="s">
        <v>165</v>
      </c>
      <c r="C22" t="s">
        <v>19</v>
      </c>
      <c r="D22" t="s">
        <v>166</v>
      </c>
      <c r="E22" t="s">
        <v>167</v>
      </c>
      <c r="F22" t="s">
        <v>168</v>
      </c>
      <c r="G22" t="s">
        <v>169</v>
      </c>
      <c r="H22" t="s">
        <v>74</v>
      </c>
      <c r="I22" t="s">
        <v>40</v>
      </c>
    </row>
    <row r="23" spans="1:9" ht="42" customHeight="1" x14ac:dyDescent="0.2">
      <c r="A23" t="s">
        <v>164</v>
      </c>
      <c r="B23" t="s">
        <v>170</v>
      </c>
      <c r="C23" t="s">
        <v>171</v>
      </c>
      <c r="D23" t="s">
        <v>172</v>
      </c>
      <c r="E23" t="s">
        <v>173</v>
      </c>
      <c r="F23" t="s">
        <v>101</v>
      </c>
      <c r="G23" t="s">
        <v>169</v>
      </c>
      <c r="H23" t="s">
        <v>103</v>
      </c>
      <c r="I23" t="s">
        <v>40</v>
      </c>
    </row>
    <row r="24" spans="1:9" ht="42" customHeight="1" x14ac:dyDescent="0.2">
      <c r="A24" t="s">
        <v>174</v>
      </c>
      <c r="B24" t="s">
        <v>175</v>
      </c>
      <c r="C24" t="s">
        <v>176</v>
      </c>
      <c r="D24" t="s">
        <v>177</v>
      </c>
      <c r="E24" t="s">
        <v>178</v>
      </c>
      <c r="F24" t="s">
        <v>179</v>
      </c>
      <c r="G24" t="s">
        <v>180</v>
      </c>
      <c r="H24" t="s">
        <v>39</v>
      </c>
      <c r="I24" t="s">
        <v>40</v>
      </c>
    </row>
    <row r="25" spans="1:9" ht="42" customHeight="1" x14ac:dyDescent="0.2">
      <c r="A25" t="s">
        <v>174</v>
      </c>
      <c r="B25" t="s">
        <v>181</v>
      </c>
      <c r="C25" t="s">
        <v>182</v>
      </c>
      <c r="D25" t="s">
        <v>183</v>
      </c>
      <c r="E25" t="s">
        <v>184</v>
      </c>
      <c r="F25" t="s">
        <v>185</v>
      </c>
      <c r="G25" t="s">
        <v>180</v>
      </c>
      <c r="H25" t="s">
        <v>116</v>
      </c>
      <c r="I25" t="s">
        <v>40</v>
      </c>
    </row>
    <row r="26" spans="1:9" ht="42" customHeight="1" x14ac:dyDescent="0.2">
      <c r="A26" t="s">
        <v>174</v>
      </c>
      <c r="B26" t="s">
        <v>186</v>
      </c>
      <c r="C26" t="s">
        <v>187</v>
      </c>
      <c r="D26" t="s">
        <v>188</v>
      </c>
      <c r="E26" t="s">
        <v>189</v>
      </c>
      <c r="F26" t="s">
        <v>190</v>
      </c>
      <c r="G26" t="s">
        <v>191</v>
      </c>
      <c r="H26" t="s">
        <v>39</v>
      </c>
      <c r="I26" t="s">
        <v>40</v>
      </c>
    </row>
    <row r="27" spans="1:9" ht="42" customHeight="1" x14ac:dyDescent="0.2">
      <c r="A27" t="s">
        <v>192</v>
      </c>
      <c r="B27" t="s">
        <v>193</v>
      </c>
      <c r="C27" t="s">
        <v>194</v>
      </c>
      <c r="D27" t="s">
        <v>195</v>
      </c>
      <c r="E27" t="s">
        <v>196</v>
      </c>
      <c r="F27" t="s">
        <v>197</v>
      </c>
      <c r="G27" t="s">
        <v>73</v>
      </c>
      <c r="H27" t="s">
        <v>39</v>
      </c>
      <c r="I27" t="s">
        <v>40</v>
      </c>
    </row>
    <row r="28" spans="1:9" ht="42" customHeight="1" x14ac:dyDescent="0.2">
      <c r="A28" t="s">
        <v>192</v>
      </c>
      <c r="B28" t="s">
        <v>198</v>
      </c>
      <c r="C28" t="s">
        <v>199</v>
      </c>
      <c r="D28" t="s">
        <v>200</v>
      </c>
      <c r="E28" t="s">
        <v>201</v>
      </c>
      <c r="F28" t="s">
        <v>202</v>
      </c>
      <c r="G28" t="s">
        <v>73</v>
      </c>
      <c r="H28" t="s">
        <v>96</v>
      </c>
      <c r="I28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zoomScale="140" zoomScaleNormal="140" workbookViewId="0">
      <selection activeCell="A9" sqref="A9"/>
    </sheetView>
  </sheetViews>
  <sheetFormatPr baseColWidth="10" defaultColWidth="8.83203125" defaultRowHeight="15" x14ac:dyDescent="0.2"/>
  <cols>
    <col min="1" max="1" width="18" customWidth="1"/>
    <col min="2" max="2" width="34" customWidth="1"/>
    <col min="3" max="3" width="50" customWidth="1"/>
    <col min="4" max="4" width="48" customWidth="1"/>
  </cols>
  <sheetData>
    <row r="1" spans="1:4" ht="28" customHeight="1" x14ac:dyDescent="0.2">
      <c r="A1" s="3" t="s">
        <v>203</v>
      </c>
      <c r="B1" s="4"/>
      <c r="C1" s="4"/>
      <c r="D1" s="4"/>
    </row>
    <row r="2" spans="1:4" ht="16" x14ac:dyDescent="0.2">
      <c r="A2" s="1" t="s">
        <v>204</v>
      </c>
      <c r="B2" s="1" t="s">
        <v>205</v>
      </c>
      <c r="C2" s="1" t="s">
        <v>206</v>
      </c>
      <c r="D2" s="1" t="s">
        <v>207</v>
      </c>
    </row>
    <row r="3" spans="1:4" ht="16" x14ac:dyDescent="0.2">
      <c r="A3" t="s">
        <v>208</v>
      </c>
      <c r="B3" t="s">
        <v>209</v>
      </c>
      <c r="C3" t="s">
        <v>210</v>
      </c>
      <c r="D3" t="s">
        <v>211</v>
      </c>
    </row>
    <row r="4" spans="1:4" ht="16" x14ac:dyDescent="0.2">
      <c r="A4" t="s">
        <v>212</v>
      </c>
      <c r="B4" t="s">
        <v>213</v>
      </c>
      <c r="C4" t="s">
        <v>214</v>
      </c>
      <c r="D4" t="s">
        <v>215</v>
      </c>
    </row>
    <row r="5" spans="1:4" ht="32" x14ac:dyDescent="0.2">
      <c r="A5" t="s">
        <v>216</v>
      </c>
      <c r="B5" t="s">
        <v>217</v>
      </c>
      <c r="C5" t="s">
        <v>218</v>
      </c>
      <c r="D5" t="s">
        <v>219</v>
      </c>
    </row>
    <row r="6" spans="1:4" ht="16" x14ac:dyDescent="0.2">
      <c r="A6" t="s">
        <v>220</v>
      </c>
      <c r="B6" t="s">
        <v>221</v>
      </c>
      <c r="C6" t="s">
        <v>222</v>
      </c>
      <c r="D6" t="s">
        <v>223</v>
      </c>
    </row>
    <row r="7" spans="1:4" ht="16" x14ac:dyDescent="0.2">
      <c r="A7" t="s">
        <v>224</v>
      </c>
      <c r="B7" t="s">
        <v>225</v>
      </c>
      <c r="C7" t="s">
        <v>226</v>
      </c>
      <c r="D7" t="s">
        <v>227</v>
      </c>
    </row>
    <row r="8" spans="1:4" ht="16" x14ac:dyDescent="0.2">
      <c r="A8" t="s">
        <v>228</v>
      </c>
      <c r="B8" t="s">
        <v>229</v>
      </c>
      <c r="C8" t="s">
        <v>230</v>
      </c>
      <c r="D8" t="s">
        <v>231</v>
      </c>
    </row>
    <row r="9" spans="1:4" ht="16" x14ac:dyDescent="0.2">
      <c r="A9" t="s">
        <v>174</v>
      </c>
      <c r="B9" t="s">
        <v>232</v>
      </c>
      <c r="C9" t="s">
        <v>233</v>
      </c>
      <c r="D9" t="s">
        <v>234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selection activeCell="C7" sqref="C7"/>
    </sheetView>
  </sheetViews>
  <sheetFormatPr baseColWidth="10" defaultColWidth="8.83203125" defaultRowHeight="15" x14ac:dyDescent="0.2"/>
  <cols>
    <col min="1" max="1" width="24" customWidth="1"/>
    <col min="2" max="2" width="36" customWidth="1"/>
    <col min="3" max="3" width="62" customWidth="1"/>
  </cols>
  <sheetData>
    <row r="1" spans="1:3" ht="28" customHeight="1" x14ac:dyDescent="0.2">
      <c r="A1" s="3" t="s">
        <v>235</v>
      </c>
      <c r="B1" s="4"/>
      <c r="C1" s="4"/>
    </row>
    <row r="2" spans="1:3" ht="16" x14ac:dyDescent="0.2">
      <c r="A2" s="1" t="s">
        <v>236</v>
      </c>
      <c r="B2" s="1" t="s">
        <v>31</v>
      </c>
      <c r="C2" s="1" t="s">
        <v>237</v>
      </c>
    </row>
    <row r="3" spans="1:3" ht="16" x14ac:dyDescent="0.2">
      <c r="A3" t="s">
        <v>238</v>
      </c>
      <c r="B3" t="s">
        <v>239</v>
      </c>
      <c r="C3" t="s">
        <v>240</v>
      </c>
    </row>
    <row r="4" spans="1:3" ht="16" x14ac:dyDescent="0.2">
      <c r="A4" t="s">
        <v>73</v>
      </c>
      <c r="B4" t="s">
        <v>74</v>
      </c>
      <c r="C4" t="s">
        <v>241</v>
      </c>
    </row>
    <row r="5" spans="1:3" ht="16" x14ac:dyDescent="0.2">
      <c r="A5" t="s">
        <v>242</v>
      </c>
      <c r="B5" t="s">
        <v>243</v>
      </c>
      <c r="C5" t="s">
        <v>244</v>
      </c>
    </row>
    <row r="6" spans="1:3" ht="16" x14ac:dyDescent="0.2">
      <c r="A6" t="s">
        <v>245</v>
      </c>
      <c r="B6" t="s">
        <v>246</v>
      </c>
      <c r="C6" t="s">
        <v>247</v>
      </c>
    </row>
    <row r="8" spans="1:3" ht="16" x14ac:dyDescent="0.2">
      <c r="A8" s="1" t="s">
        <v>248</v>
      </c>
    </row>
    <row r="9" spans="1:3" ht="16" x14ac:dyDescent="0.2">
      <c r="A9" t="s">
        <v>249</v>
      </c>
      <c r="B9" t="s">
        <v>250</v>
      </c>
      <c r="C9" t="s">
        <v>251</v>
      </c>
    </row>
    <row r="10" spans="1:3" ht="16" x14ac:dyDescent="0.2">
      <c r="A10" t="s">
        <v>252</v>
      </c>
      <c r="B10" t="s">
        <v>253</v>
      </c>
      <c r="C10" t="s">
        <v>254</v>
      </c>
    </row>
    <row r="11" spans="1:3" ht="16" x14ac:dyDescent="0.2">
      <c r="A11" t="s">
        <v>255</v>
      </c>
      <c r="B11" t="s">
        <v>256</v>
      </c>
      <c r="C11" t="s">
        <v>257</v>
      </c>
    </row>
    <row r="12" spans="1:3" ht="16" x14ac:dyDescent="0.2">
      <c r="A12" t="s">
        <v>258</v>
      </c>
      <c r="B12" t="s">
        <v>259</v>
      </c>
      <c r="C12" t="s">
        <v>260</v>
      </c>
    </row>
    <row r="13" spans="1:3" ht="16" x14ac:dyDescent="0.2">
      <c r="A13" t="s">
        <v>261</v>
      </c>
      <c r="B13" t="s">
        <v>262</v>
      </c>
      <c r="C13" t="s">
        <v>263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sqref="A1:B1"/>
    </sheetView>
  </sheetViews>
  <sheetFormatPr baseColWidth="10" defaultColWidth="8.83203125" defaultRowHeight="15" x14ac:dyDescent="0.2"/>
  <cols>
    <col min="1" max="1" width="34" customWidth="1"/>
    <col min="2" max="2" width="82" customWidth="1"/>
  </cols>
  <sheetData>
    <row r="1" spans="1:2" ht="28" customHeight="1" x14ac:dyDescent="0.2">
      <c r="A1" s="3" t="s">
        <v>264</v>
      </c>
      <c r="B1" s="4"/>
    </row>
    <row r="2" spans="1:2" ht="16" x14ac:dyDescent="0.2">
      <c r="A2" s="1" t="s">
        <v>265</v>
      </c>
      <c r="B2" s="1" t="s">
        <v>266</v>
      </c>
    </row>
    <row r="3" spans="1:2" ht="16" x14ac:dyDescent="0.2">
      <c r="A3" t="s">
        <v>267</v>
      </c>
      <c r="B3" t="s">
        <v>268</v>
      </c>
    </row>
    <row r="4" spans="1:2" ht="16" x14ac:dyDescent="0.2">
      <c r="A4" t="s">
        <v>269</v>
      </c>
      <c r="B4" t="s">
        <v>270</v>
      </c>
    </row>
    <row r="5" spans="1:2" ht="16" x14ac:dyDescent="0.2">
      <c r="A5" t="s">
        <v>271</v>
      </c>
      <c r="B5" t="s">
        <v>272</v>
      </c>
    </row>
    <row r="6" spans="1:2" ht="16" x14ac:dyDescent="0.2">
      <c r="A6" t="s">
        <v>273</v>
      </c>
      <c r="B6" t="s">
        <v>274</v>
      </c>
    </row>
    <row r="7" spans="1:2" ht="16" x14ac:dyDescent="0.2">
      <c r="A7" t="s">
        <v>275</v>
      </c>
      <c r="B7" t="s">
        <v>276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Dashboard</vt:lpstr>
      <vt:lpstr>KPI-matrise</vt:lpstr>
      <vt:lpstr>Toleranser</vt:lpstr>
      <vt:lpstr>Rapportering</vt:lpstr>
      <vt:lpstr>Kilder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KPI-matrise World Cup Alpint Wyllerløypa 2028</dc:title>
  <dc:creator>Codex</dc:creator>
  <cp:lastModifiedBy>Øyvind Stormyrbakken</cp:lastModifiedBy>
  <dcterms:created xsi:type="dcterms:W3CDTF">2026-06-10T12:43:25Z</dcterms:created>
  <dcterms:modified xsi:type="dcterms:W3CDTF">2026-06-15T09:34:10Z</dcterms:modified>
</cp:coreProperties>
</file>