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shboard" sheetId="1" r:id="rId1"/>
    <sheet name="Prosjektbudsjett" sheetId="2" r:id="rId2"/>
    <sheet name="Endringsbudsjett" sheetId="3" r:id="rId3"/>
    <sheet name="Risikobudsjett" sheetId="4" r:id="rId4"/>
    <sheet name="Forutsetninger" sheetId="5" r:id="rId5"/>
  </sheets>
</workbook>
</file>

<file path=xl/sharedStrings.xml><?xml version="1.0" encoding="utf-8"?>
<sst xmlns="http://schemas.openxmlformats.org/spreadsheetml/2006/main" count="104" uniqueCount="98">
  <si>
    <t>Grovbudsjett - World Cup Alpint Wyllerløypa 2028</t>
  </si>
  <si>
    <t>Arrangement 3.-4. mars 2028 | Topptnivå uten teamnedbrytning</t>
  </si>
  <si>
    <t>Nøkkeltall</t>
  </si>
  <si>
    <t>Beløp (NOK)</t>
  </si>
  <si>
    <t>Merknad</t>
  </si>
  <si>
    <t>Prosjektbudsjett</t>
  </si>
  <si>
    <t>Sum av hovedkostnader</t>
  </si>
  <si>
    <t>Endringsbudsjett</t>
  </si>
  <si>
    <t>Pott for godkjente endringer og scopejusteringer</t>
  </si>
  <si>
    <t>Risikobudsjett</t>
  </si>
  <si>
    <t>Reserve for usikkerhet og kjente risikoscenarioer</t>
  </si>
  <si>
    <t>Total brutto ramme</t>
  </si>
  <si>
    <t>Topptnivå før eventuelle inntekter / medfinansiering</t>
  </si>
  <si>
    <t>Forutsetninger</t>
  </si>
  <si>
    <t>Beløpene er grove styringsrammer på toppnivå. Filen er ment for initiering og tidlig planlegging, ikke detaljerte innkjøpsbeslutninger.</t>
  </si>
  <si>
    <t>Alle beløp må rekalibreres når FIS-krav, arenaavtale, leverandørpriser og kommersiell finansiering er avklart.</t>
  </si>
  <si>
    <t>Prosjektbudsjett - toppnivå</t>
  </si>
  <si>
    <t>Kategori</t>
  </si>
  <si>
    <t>Andel av total</t>
  </si>
  <si>
    <t>Kommentar</t>
  </si>
  <si>
    <t>1. Sportslig gjennomføring</t>
  </si>
  <si>
    <t>Løype, porter, tidtaking, jury, rennleder og teknisk gjennomføring</t>
  </si>
  <si>
    <t>2. Arena og rigg</t>
  </si>
  <si>
    <t>Rigg, tribuner, heis, strøm, lys, målområde, sikring</t>
  </si>
  <si>
    <t>3. HMS og beredskap</t>
  </si>
  <si>
    <t>Sanitet, vakthold, evakuering, risiko- og beredskapsarbeid</t>
  </si>
  <si>
    <t>4. Publikum og transport</t>
  </si>
  <si>
    <t>Billett, adgang, shuttle, skilting, publikumsflyt, service</t>
  </si>
  <si>
    <t>5. Media og TV</t>
  </si>
  <si>
    <t>Broadcast, pressefasiliteter, mixed zone, signal og produksjonsstøtte</t>
  </si>
  <si>
    <t>6. Kommersiell leveranse</t>
  </si>
  <si>
    <t>Sponsorflater, hospitality, partnerleveranser og salgsstøtte</t>
  </si>
  <si>
    <t>7. Frivillige</t>
  </si>
  <si>
    <t>Rekruttering, opplæring, bekledning, mat, akkreditering</t>
  </si>
  <si>
    <t>8. Bærekraft og sosial profil</t>
  </si>
  <si>
    <t>Miljøtiltak, sosial aktivitetsdel i Tryvann, tilgjengelighet, måling</t>
  </si>
  <si>
    <t>9. Prosjektledelse og administrasjon</t>
  </si>
  <si>
    <t>Prosjektteam, økonomi, innkjøp, juridisk, rapportering, dokumentasjon</t>
  </si>
  <si>
    <t>10. Reserve / usikkerhet</t>
  </si>
  <si>
    <t>Kjent usikkerhet og mindre scope-/prisjusteringer</t>
  </si>
  <si>
    <t>Total</t>
  </si>
  <si>
    <t>100%</t>
  </si>
  <si>
    <t>Topptnivå grovramme</t>
  </si>
  <si>
    <t>Endringsbudsjett - toppnivå</t>
  </si>
  <si>
    <t>Bruk</t>
  </si>
  <si>
    <t>Godkjenningsnivå</t>
  </si>
  <si>
    <t>Mindre operative endringer</t>
  </si>
  <si>
    <t>Mindre riggjusteringer, skilting, bemanningsskift</t>
  </si>
  <si>
    <t>Prosjektleder</t>
  </si>
  <si>
    <t>Middels endringer</t>
  </si>
  <si>
    <t>Justering av publikumsområder, transport eller media</t>
  </si>
  <si>
    <t>Change Authority</t>
  </si>
  <si>
    <t>Store endringer</t>
  </si>
  <si>
    <t>Endring i leveranseomfang, ekstra sikkerhet eller kapasitet</t>
  </si>
  <si>
    <t>Prosjektstyret</t>
  </si>
  <si>
    <t>Kapasitet Tryvann-aktivitet</t>
  </si>
  <si>
    <t>Ekstra utstyr, vertskap, instruktører eller sikkerhet</t>
  </si>
  <si>
    <t>Prosjektleder / kommune</t>
  </si>
  <si>
    <t>Kommunikasjon og omdømme</t>
  </si>
  <si>
    <t>Ekstra kommunikasjon ved endringer eller hendelser</t>
  </si>
  <si>
    <t>Total endringsramme</t>
  </si>
  <si>
    <t>Topptnivå</t>
  </si>
  <si>
    <t>Risikobudsjett - toppnivå</t>
  </si>
  <si>
    <t>Risikoscenario</t>
  </si>
  <si>
    <t>Beskrivelse</t>
  </si>
  <si>
    <t>Eier</t>
  </si>
  <si>
    <t>Vær og snø</t>
  </si>
  <si>
    <t>Ekstra snøproduksjon, værberedskap, omplanlegging</t>
  </si>
  <si>
    <t>Arena / sport</t>
  </si>
  <si>
    <t>Transport og trafikk</t>
  </si>
  <si>
    <t>Køhåndtering, shuttle-reserve, ekstra skilting og trafikkstyring</t>
  </si>
  <si>
    <t>Drift / transport</t>
  </si>
  <si>
    <t>HMS og sikkerhet</t>
  </si>
  <si>
    <t>Ekstra vakthold, sanitet, evakuering og beredskap</t>
  </si>
  <si>
    <t>HMS</t>
  </si>
  <si>
    <t>Teknisk og broadcast</t>
  </si>
  <si>
    <t>Reserveutstyr, nett, strøm og produksjonsbackup</t>
  </si>
  <si>
    <t>Media / teknisk</t>
  </si>
  <si>
    <t>Tryvann sosial aktivitet</t>
  </si>
  <si>
    <t>Utlånsutstyr, bemanning, sikkerhet og kapasitet</t>
  </si>
  <si>
    <t>Oslo kommune / Skimore</t>
  </si>
  <si>
    <t>Omdømme / kommunikasjon</t>
  </si>
  <si>
    <t>Kriseberedskap, naboinformasjon og ekstra kommunikasjonsstøtte</t>
  </si>
  <si>
    <t>Kommunikasjon</t>
  </si>
  <si>
    <t>Total risikoreserve</t>
  </si>
  <si>
    <t>Antakelser og rammer</t>
  </si>
  <si>
    <t>Tema</t>
  </si>
  <si>
    <t>Antakelse</t>
  </si>
  <si>
    <t>Tidsrom</t>
  </si>
  <si>
    <t>Budsjettet gjelder perioden juni 2026 til juni 2028 med hovedfokus på arrangementshelgen 3.-4. mars 2028.</t>
  </si>
  <si>
    <t>Prisnivå</t>
  </si>
  <si>
    <t>Beløp er grove estimater og må oppdateres etter tilbud, avtaler og finansieringsstatus.</t>
  </si>
  <si>
    <t>Omfang</t>
  </si>
  <si>
    <t>Ingen teamnedbrytning. Dette er kun toppnivå for prosjektstyring.</t>
  </si>
  <si>
    <t>Sosial aktivitet</t>
  </si>
  <si>
    <t>Tryvann-tiltaket inngår som egen sosial leveranse i arrangementshelgen.</t>
  </si>
  <si>
    <t>Risikostyring</t>
  </si>
  <si>
    <t>Risikobudsjett er en reservepott, ikke en garantert kostnad.</t>
  </si>
</sst>
</file>

<file path=xl/styles.xml><?xml version="1.0" encoding="utf-8"?>
<styleSheet xmlns="http://schemas.openxmlformats.org/spreadsheetml/2006/main">
  <fonts count="4">
    <font>
      <sz val="11"/>
      <color rgb="FF1F2937"/>
      <name val="Calibri"/>
      <family val="2"/>
    </font>
    <font>
      <b/>
      <sz val="18"/>
      <color rgb="FFFFFFFF"/>
      <name val="Calibri"/>
      <family val="2"/>
    </font>
    <font>
      <b/>
      <sz val="11"/>
      <color rgb="FF0F172A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355B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2" borderId="1" xfId="0" applyFill="1" applyFont="1" applyAlignment="1">
      <alignment horizontal="center" vertical="center"/>
    </xf>
    <xf numFmtId="0" fontId="2" fillId="3" borderId="1" xfId="0" applyFill="1" applyFont="1" applyAlignment="1">
      <alignment vertical="top" wrapText="1"/>
    </xf>
    <xf numFmtId="0" fontId="3" fillId="2" borderId="1" xfId="0" applyFill="1" applyFont="1" applyAlignment="1">
      <alignment vertical="center" wrapText="1"/>
    </xf>
    <xf numFmtId="0" fontId="2" fillId="4" borderId="1" xfId="0" applyFill="1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>
</sheetView>
  </sheetViews>
  <sheetFormatPr defaultRowHeight="15"/>
  <cols>
    <col min="1" max="1" width="30" customWidth="1"/>
    <col min="2" max="2" width="24" customWidth="1"/>
    <col min="3" max="3" width="58" customWidth="1"/>
  </cols>
  <sheetData>
    <row r="1" spans="1:3" ht="30" customHeight="1">
      <c r="A1" s="1" t="s">
        <v>0</v>
      </c>
    </row>
    <row r="2" spans="1:3" ht="26" customHeight="1">
      <c r="A2" s="2" t="s">
        <v>1</v>
      </c>
    </row>
    <row r="3" spans="1:3">
      <c r="A3" s="0"/>
    </row>
    <row r="4" spans="1:3">
      <c r="A4" s="3" t="s">
        <v>2</v>
      </c>
      <c r="B4" s="3" t="s">
        <v>3</v>
      </c>
      <c r="C4" s="3" t="s">
        <v>4</v>
      </c>
    </row>
    <row r="5" spans="1:3">
      <c r="A5" s="0" t="s">
        <v>5</v>
      </c>
      <c r="B5" s="0">
        <f>SUM('Prosjektbudsjett'!B3:B12)</f>
      </c>
      <c r="C5" s="0" t="s">
        <v>6</v>
      </c>
    </row>
    <row r="6" spans="1:3">
      <c r="A6" s="0" t="s">
        <v>7</v>
      </c>
      <c r="B6" s="0">
        <f>SUM('Endringsbudsjett'!B3:B7)</f>
      </c>
      <c r="C6" s="0" t="s">
        <v>8</v>
      </c>
    </row>
    <row r="7" spans="1:3">
      <c r="A7" s="0" t="s">
        <v>9</v>
      </c>
      <c r="B7" s="0">
        <f>SUM('Risikobudsjett'!B3:B8)</f>
      </c>
      <c r="C7" s="0" t="s">
        <v>10</v>
      </c>
    </row>
    <row r="8" spans="1:3">
      <c r="A8" s="0" t="s">
        <v>11</v>
      </c>
      <c r="B8" s="0">
        <f>B5+B6+B7</f>
      </c>
      <c r="C8" s="0" t="s">
        <v>12</v>
      </c>
    </row>
    <row r="9" spans="1:3">
      <c r="A9" s="0"/>
    </row>
    <row r="10" spans="1:3">
      <c r="A10" s="3" t="s">
        <v>13</v>
      </c>
    </row>
    <row r="11" spans="1:3">
      <c r="A11" s="0"/>
      <c r="B11" s="0" t="s">
        <v>14</v>
      </c>
    </row>
    <row r="12" spans="1:3">
      <c r="A12" s="0"/>
      <c r="B12" s="0" t="s">
        <v>15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xSplit="0" ySplit="1" topLeftCell="A2" activePane="bottomRight" state="frozen"/>
    </sheetView>
  </sheetViews>
  <sheetFormatPr defaultRowHeight="15"/>
  <cols>
    <col min="1" max="1" width="34" customWidth="1"/>
    <col min="2" max="2" width="18" customWidth="1"/>
    <col min="3" max="3" width="18" customWidth="1"/>
    <col min="4" max="4" width="72" customWidth="1"/>
  </cols>
  <sheetData>
    <row r="1" spans="1:4" ht="30" customHeight="1">
      <c r="A1" s="1" t="s">
        <v>16</v>
      </c>
    </row>
    <row r="2" spans="1:4">
      <c r="A2" s="3" t="s">
        <v>17</v>
      </c>
      <c r="B2" s="3" t="s">
        <v>3</v>
      </c>
      <c r="C2" s="3" t="s">
        <v>18</v>
      </c>
      <c r="D2" s="3" t="s">
        <v>19</v>
      </c>
    </row>
    <row r="3" spans="1:4" ht="40" customHeight="1">
      <c r="A3" s="0" t="s">
        <v>20</v>
      </c>
      <c r="B3" s="0">
        <v>4500000</v>
      </c>
      <c r="C3" s="0">
        <f>B3/$B$13</f>
      </c>
      <c r="D3" s="0" t="s">
        <v>21</v>
      </c>
    </row>
    <row r="4" spans="1:4" ht="40" customHeight="1">
      <c r="A4" s="0" t="s">
        <v>22</v>
      </c>
      <c r="B4" s="0">
        <v>6200000</v>
      </c>
      <c r="C4" s="0">
        <f>B4/$B$13</f>
      </c>
      <c r="D4" s="0" t="s">
        <v>23</v>
      </c>
    </row>
    <row r="5" spans="1:4" ht="40" customHeight="1">
      <c r="A5" s="0" t="s">
        <v>24</v>
      </c>
      <c r="B5" s="0">
        <v>2100000</v>
      </c>
      <c r="C5" s="0">
        <f>B5/$B$13</f>
      </c>
      <c r="D5" s="0" t="s">
        <v>25</v>
      </c>
    </row>
    <row r="6" spans="1:4" ht="40" customHeight="1">
      <c r="A6" s="0" t="s">
        <v>26</v>
      </c>
      <c r="B6" s="0">
        <v>2600000</v>
      </c>
      <c r="C6" s="0">
        <f>B6/$B$13</f>
      </c>
      <c r="D6" s="0" t="s">
        <v>27</v>
      </c>
    </row>
    <row r="7" spans="1:4" ht="40" customHeight="1">
      <c r="A7" s="0" t="s">
        <v>28</v>
      </c>
      <c r="B7" s="0">
        <v>3900000</v>
      </c>
      <c r="C7" s="0">
        <f>B7/$B$13</f>
      </c>
      <c r="D7" s="0" t="s">
        <v>29</v>
      </c>
    </row>
    <row r="8" spans="1:4" ht="40" customHeight="1">
      <c r="A8" s="0" t="s">
        <v>30</v>
      </c>
      <c r="B8" s="0">
        <v>1700000</v>
      </c>
      <c r="C8" s="0">
        <f>B8/$B$13</f>
      </c>
      <c r="D8" s="0" t="s">
        <v>31</v>
      </c>
    </row>
    <row r="9" spans="1:4" ht="40" customHeight="1">
      <c r="A9" s="0" t="s">
        <v>32</v>
      </c>
      <c r="B9" s="0">
        <v>1300000</v>
      </c>
      <c r="C9" s="0">
        <f>B9/$B$13</f>
      </c>
      <c r="D9" s="0" t="s">
        <v>33</v>
      </c>
    </row>
    <row r="10" spans="1:4" ht="40" customHeight="1">
      <c r="A10" s="0" t="s">
        <v>34</v>
      </c>
      <c r="B10" s="0">
        <v>1600000</v>
      </c>
      <c r="C10" s="0">
        <f>B10/$B$13</f>
      </c>
      <c r="D10" s="0" t="s">
        <v>35</v>
      </c>
    </row>
    <row r="11" spans="1:4" ht="40" customHeight="1">
      <c r="A11" s="0" t="s">
        <v>36</v>
      </c>
      <c r="B11" s="0">
        <v>2800000</v>
      </c>
      <c r="C11" s="0">
        <f>B11/$B$13</f>
      </c>
      <c r="D11" s="0" t="s">
        <v>37</v>
      </c>
    </row>
    <row r="12" spans="1:4" ht="40" customHeight="1">
      <c r="A12" s="0" t="s">
        <v>38</v>
      </c>
      <c r="B12" s="0">
        <v>2600000</v>
      </c>
      <c r="C12" s="0">
        <f>B12/$B$13</f>
      </c>
      <c r="D12" s="0" t="s">
        <v>39</v>
      </c>
    </row>
    <row r="13" spans="1:4" ht="40" customHeight="1">
      <c r="A13" s="0" t="s">
        <v>40</v>
      </c>
      <c r="B13" s="0">
        <f>SUM(B3:B12)</f>
      </c>
      <c r="C13" s="0" t="s">
        <v>41</v>
      </c>
      <c r="D13" s="0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5"/>
  <cols>
    <col min="1" max="1" width="30" customWidth="1"/>
    <col min="2" max="2" width="18" customWidth="1"/>
    <col min="3" max="3" width="46" customWidth="1"/>
    <col min="4" max="4" width="24" customWidth="1"/>
  </cols>
  <sheetData>
    <row r="1" spans="1:4" ht="30" customHeight="1">
      <c r="A1" s="1" t="s">
        <v>43</v>
      </c>
    </row>
    <row r="2" spans="1:4">
      <c r="A2" s="3" t="s">
        <v>17</v>
      </c>
      <c r="B2" s="3" t="s">
        <v>3</v>
      </c>
      <c r="C2" s="3" t="s">
        <v>44</v>
      </c>
      <c r="D2" s="3" t="s">
        <v>45</v>
      </c>
    </row>
    <row r="3" spans="1:4" ht="38" customHeight="1">
      <c r="A3" s="0" t="s">
        <v>46</v>
      </c>
      <c r="B3" s="0">
        <v>350000</v>
      </c>
      <c r="C3" s="0" t="s">
        <v>47</v>
      </c>
      <c r="D3" s="0" t="s">
        <v>48</v>
      </c>
    </row>
    <row r="4" spans="1:4" ht="38" customHeight="1">
      <c r="A4" s="0" t="s">
        <v>49</v>
      </c>
      <c r="B4" s="0">
        <v>700000</v>
      </c>
      <c r="C4" s="0" t="s">
        <v>50</v>
      </c>
      <c r="D4" s="0" t="s">
        <v>51</v>
      </c>
    </row>
    <row r="5" spans="1:4" ht="38" customHeight="1">
      <c r="A5" s="0" t="s">
        <v>52</v>
      </c>
      <c r="B5" s="0">
        <v>900000</v>
      </c>
      <c r="C5" s="0" t="s">
        <v>53</v>
      </c>
      <c r="D5" s="0" t="s">
        <v>54</v>
      </c>
    </row>
    <row r="6" spans="1:4" ht="38" customHeight="1">
      <c r="A6" s="0" t="s">
        <v>55</v>
      </c>
      <c r="B6" s="0">
        <v>250000</v>
      </c>
      <c r="C6" s="0" t="s">
        <v>56</v>
      </c>
      <c r="D6" s="0" t="s">
        <v>57</v>
      </c>
    </row>
    <row r="7" spans="1:4" ht="38" customHeight="1">
      <c r="A7" s="0" t="s">
        <v>58</v>
      </c>
      <c r="B7" s="0">
        <v>150000</v>
      </c>
      <c r="C7" s="0" t="s">
        <v>59</v>
      </c>
      <c r="D7" s="0" t="s">
        <v>48</v>
      </c>
    </row>
    <row r="8" spans="1:4" ht="38" customHeight="1">
      <c r="A8" s="0" t="s">
        <v>60</v>
      </c>
      <c r="B8" s="0">
        <f>SUM(B3:B7)</f>
      </c>
      <c r="C8" s="0"/>
      <c r="D8" s="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0" ySplit="1" topLeftCell="A2" activePane="bottomRight" state="frozen"/>
    </sheetView>
  </sheetViews>
  <sheetFormatPr defaultRowHeight="15"/>
  <cols>
    <col min="1" max="1" width="28" customWidth="1"/>
    <col min="2" max="2" width="18" customWidth="1"/>
    <col min="3" max="3" width="46" customWidth="1"/>
    <col min="4" max="4" width="24" customWidth="1"/>
  </cols>
  <sheetData>
    <row r="1" spans="1:4" ht="30" customHeight="1">
      <c r="A1" s="1" t="s">
        <v>62</v>
      </c>
    </row>
    <row r="2" spans="1:4">
      <c r="A2" s="3" t="s">
        <v>63</v>
      </c>
      <c r="B2" s="3" t="s">
        <v>3</v>
      </c>
      <c r="C2" s="3" t="s">
        <v>64</v>
      </c>
      <c r="D2" s="3" t="s">
        <v>65</v>
      </c>
    </row>
    <row r="3" spans="1:4" ht="38" customHeight="1">
      <c r="A3" s="0" t="s">
        <v>66</v>
      </c>
      <c r="B3" s="0">
        <v>800000</v>
      </c>
      <c r="C3" s="0" t="s">
        <v>67</v>
      </c>
      <c r="D3" s="0" t="s">
        <v>68</v>
      </c>
    </row>
    <row r="4" spans="1:4" ht="38" customHeight="1">
      <c r="A4" s="0" t="s">
        <v>69</v>
      </c>
      <c r="B4" s="0">
        <v>450000</v>
      </c>
      <c r="C4" s="0" t="s">
        <v>70</v>
      </c>
      <c r="D4" s="0" t="s">
        <v>71</v>
      </c>
    </row>
    <row r="5" spans="1:4" ht="38" customHeight="1">
      <c r="A5" s="0" t="s">
        <v>72</v>
      </c>
      <c r="B5" s="0">
        <v>650000</v>
      </c>
      <c r="C5" s="0" t="s">
        <v>73</v>
      </c>
      <c r="D5" s="0" t="s">
        <v>74</v>
      </c>
    </row>
    <row r="6" spans="1:4" ht="38" customHeight="1">
      <c r="A6" s="0" t="s">
        <v>75</v>
      </c>
      <c r="B6" s="0">
        <v>500000</v>
      </c>
      <c r="C6" s="0" t="s">
        <v>76</v>
      </c>
      <c r="D6" s="0" t="s">
        <v>77</v>
      </c>
    </row>
    <row r="7" spans="1:4" ht="38" customHeight="1">
      <c r="A7" s="0" t="s">
        <v>78</v>
      </c>
      <c r="B7" s="0">
        <v>300000</v>
      </c>
      <c r="C7" s="0" t="s">
        <v>79</v>
      </c>
      <c r="D7" s="0" t="s">
        <v>80</v>
      </c>
    </row>
    <row r="8" spans="1:4" ht="38" customHeight="1">
      <c r="A8" s="0" t="s">
        <v>81</v>
      </c>
      <c r="B8" s="0">
        <v>200000</v>
      </c>
      <c r="C8" s="0" t="s">
        <v>82</v>
      </c>
      <c r="D8" s="0" t="s">
        <v>83</v>
      </c>
    </row>
    <row r="9" spans="1:4" ht="38" customHeight="1">
      <c r="A9" s="0" t="s">
        <v>84</v>
      </c>
      <c r="B9" s="0">
        <f>SUM(B3:B8)</f>
      </c>
      <c r="C9" s="0"/>
      <c r="D9" s="0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0" ySplit="1" topLeftCell="A2" activePane="bottomRight" state="frozen"/>
    </sheetView>
  </sheetViews>
  <sheetFormatPr defaultRowHeight="15"/>
  <cols>
    <col min="1" max="1" width="22" customWidth="1"/>
    <col min="2" max="2" width="94" customWidth="1"/>
  </cols>
  <sheetData>
    <row r="1" spans="1:2" ht="30" customHeight="1">
      <c r="A1" s="1" t="s">
        <v>85</v>
      </c>
    </row>
    <row r="2" spans="1:2">
      <c r="A2" s="3" t="s">
        <v>86</v>
      </c>
      <c r="B2" s="3" t="s">
        <v>87</v>
      </c>
    </row>
    <row r="3" spans="1:2" ht="34" customHeight="1">
      <c r="A3" s="0" t="s">
        <v>88</v>
      </c>
      <c r="B3" s="0" t="s">
        <v>89</v>
      </c>
    </row>
    <row r="4" spans="1:2" ht="34" customHeight="1">
      <c r="A4" s="0" t="s">
        <v>90</v>
      </c>
      <c r="B4" s="0" t="s">
        <v>91</v>
      </c>
    </row>
    <row r="5" spans="1:2" ht="34" customHeight="1">
      <c r="A5" s="0" t="s">
        <v>92</v>
      </c>
      <c r="B5" s="0" t="s">
        <v>93</v>
      </c>
    </row>
    <row r="6" spans="1:2" ht="34" customHeight="1">
      <c r="A6" s="0" t="s">
        <v>94</v>
      </c>
      <c r="B6" s="0" t="s">
        <v>95</v>
      </c>
    </row>
    <row r="7" spans="1:2" ht="34" customHeight="1">
      <c r="A7" s="0" t="s">
        <v>96</v>
      </c>
      <c r="B7" s="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Grovbudsjett World Cup Alpint Wyllerløypa 2028</dc:title>
  <dc:creator>Codex</dc:creator>
  <cp:lastModifiedBy>Codex</cp:lastModifiedBy>
  <dcterms:created xsi:type="dcterms:W3CDTF">2026-06-22T08:00:21Z</dcterms:created>
  <dcterms:modified xsi:type="dcterms:W3CDTF">2026-06-22T08:00:21Z</dcterms:modified>
</cp:coreProperties>
</file>