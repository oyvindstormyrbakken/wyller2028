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Prosjektbudsjett" sheetId="2" state="visible" r:id="rId4"/>
    <sheet name="Endringsbudsjett" sheetId="3" state="visible" r:id="rId5"/>
    <sheet name="Risikobudsjett" sheetId="4" state="visible" r:id="rId6"/>
    <sheet name="Forutsetninger" sheetId="5" state="visible" r:id="rId7"/>
    <sheet name="Inntektsbudsjet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<sst xmlns="http://schemas.openxmlformats.org/spreadsheetml/2006/main" count="141" uniqueCount="132">
  <si>
    <t xml:space="preserve">Grovbudsjett - World Cup Alpint Wyllerløypa 2028</t>
  </si>
  <si>
    <t xml:space="preserve">Arrangement 3.-4. mars 2028 | Topptnivå med kostnader, inntekter og resultatmål</t>
  </si>
  <si>
    <t xml:space="preserve">Nøkkeltall</t>
  </si>
  <si>
    <t xml:space="preserve">Beløp (NOK)</t>
  </si>
  <si>
    <t xml:space="preserve">Merknad</t>
  </si>
  <si>
    <t xml:space="preserve">Prosjektbudsjett</t>
  </si>
  <si>
    <t xml:space="preserve">Sum av hovedkostnader</t>
  </si>
  <si>
    <t xml:space="preserve">Endringsbudsjett</t>
  </si>
  <si>
    <t xml:space="preserve">Pott for godkjente endringer og scopejusteringer</t>
  </si>
  <si>
    <t xml:space="preserve">Risikobudsjett</t>
  </si>
  <si>
    <t xml:space="preserve">Reserve for usikkerhet og kjente risikoscenarioer</t>
  </si>
  <si>
    <t xml:space="preserve">Total kostnadsramme</t>
  </si>
  <si>
    <t xml:space="preserve">Topptnivå kostnader før inntekter / medfinansiering</t>
  </si>
  <si>
    <t xml:space="preserve">Total inntektsramme</t>
  </si>
  <si>
    <t xml:space="preserve">Billetter, sponsor, TV, VIP, mat/drikke og øvrige inntekter</t>
  </si>
  <si>
    <t xml:space="preserve">Budsjettert overskudd</t>
  </si>
  <si>
    <t xml:space="preserve">Mål: ca. 10 % overskudd mot kostnadsrammen</t>
  </si>
  <si>
    <t xml:space="preserve">Overskuddsmargin</t>
  </si>
  <si>
    <t xml:space="preserve">Overskudd delt på total kostnadsramme</t>
  </si>
  <si>
    <t xml:space="preserve">Forutsetninger</t>
  </si>
  <si>
    <t xml:space="preserve">Beløpene er grove styringsrammer på toppnivå. Filen er ment for initiering og tidlig planlegging, ikke detaljerte innkjøpsbeslutninger.</t>
  </si>
  <si>
    <t xml:space="preserve">Inntektene bygger på ca. 5 000 billetter per dag à 350 kroner. Øvrig finansiering må sikres gjennom sponsor, TV/media, VIP, mat/drikke, tilskudd og andre kommersielle inntekter.</t>
  </si>
  <si>
    <t xml:space="preserve">Prosjektbudsjett - toppnivå</t>
  </si>
  <si>
    <t xml:space="preserve">Kategori</t>
  </si>
  <si>
    <t xml:space="preserve">Andel av total</t>
  </si>
  <si>
    <t xml:space="preserve">Kommentar</t>
  </si>
  <si>
    <t xml:space="preserve">1. Sportslig gjennomføring</t>
  </si>
  <si>
    <t xml:space="preserve">Løype, porter, tidtaking, jury, rennleder og teknisk gjennomføring</t>
  </si>
  <si>
    <t xml:space="preserve">2. Arena og rigg</t>
  </si>
  <si>
    <t xml:space="preserve">Rigg, tribuner, heis, strøm, lys, målområde, sikring</t>
  </si>
  <si>
    <t xml:space="preserve">3. HMS og beredskap</t>
  </si>
  <si>
    <t xml:space="preserve">Sanitet, vakthold, evakuering, risiko- og beredskapsarbeid</t>
  </si>
  <si>
    <t xml:space="preserve">4. Publikum og transport</t>
  </si>
  <si>
    <t xml:space="preserve">Billett, adgang, shuttle, skilting, publikumsflyt, service</t>
  </si>
  <si>
    <t xml:space="preserve">5. Media og TV</t>
  </si>
  <si>
    <t xml:space="preserve">Broadcast, pressefasiliteter, mixed zone, signal og produksjonsstøtte</t>
  </si>
  <si>
    <t xml:space="preserve">6. Kommersiell leveranse</t>
  </si>
  <si>
    <t xml:space="preserve">Sponsorflater, hospitality, partnerleveranser og salgsstøtte</t>
  </si>
  <si>
    <t xml:space="preserve">7. Frivillige</t>
  </si>
  <si>
    <t xml:space="preserve">Rekruttering, opplæring, bekledning, mat, akkreditering</t>
  </si>
  <si>
    <t xml:space="preserve">8. Bærekraft og sosial profil</t>
  </si>
  <si>
    <t xml:space="preserve">Miljøtiltak, sosial aktivitetsdel i Tryvann, tilgjengelighet, måling</t>
  </si>
  <si>
    <t xml:space="preserve">9. Prosjektledelse og administrasjon</t>
  </si>
  <si>
    <t xml:space="preserve">Prosjektteam, økonomi, innkjøp, juridisk, rapportering, dokumentasjon</t>
  </si>
  <si>
    <t xml:space="preserve">10. Reserve / usikkerhet</t>
  </si>
  <si>
    <t xml:space="preserve">Kjent usikkerhet og mindre scope-/prisjusteringer</t>
  </si>
  <si>
    <t xml:space="preserve">Total</t>
  </si>
  <si>
    <t xml:space="preserve">100%</t>
  </si>
  <si>
    <t xml:space="preserve">Topptnivå grovramme</t>
  </si>
  <si>
    <t xml:space="preserve">Endringsbudsjett - toppnivå</t>
  </si>
  <si>
    <t xml:space="preserve">Bruk</t>
  </si>
  <si>
    <t xml:space="preserve">Godkjenningsnivå</t>
  </si>
  <si>
    <t xml:space="preserve">Mindre operative endringer</t>
  </si>
  <si>
    <t xml:space="preserve">Mindre riggjusteringer, skilting, bemanningsskift</t>
  </si>
  <si>
    <t xml:space="preserve">Prosjektleder</t>
  </si>
  <si>
    <t xml:space="preserve">Middels endringer</t>
  </si>
  <si>
    <t xml:space="preserve">Justering av publikumsområder, transport eller media</t>
  </si>
  <si>
    <t xml:space="preserve">Change Authority</t>
  </si>
  <si>
    <t xml:space="preserve">Store endringer</t>
  </si>
  <si>
    <t xml:space="preserve">Endring i leveranseomfang, ekstra sikkerhet eller kapasitet</t>
  </si>
  <si>
    <t xml:space="preserve">Prosjektstyret</t>
  </si>
  <si>
    <t xml:space="preserve">Kapasitet Tryvann-aktivitet</t>
  </si>
  <si>
    <t xml:space="preserve">Ekstra utstyr, vertskap, instruktører eller sikkerhet</t>
  </si>
  <si>
    <t xml:space="preserve">Prosjektleder / kommune</t>
  </si>
  <si>
    <t xml:space="preserve">Kommunikasjon og omdømme</t>
  </si>
  <si>
    <t xml:space="preserve">Ekstra kommunikasjon ved endringer eller hendelser</t>
  </si>
  <si>
    <t xml:space="preserve">Total endringsramme</t>
  </si>
  <si>
    <t xml:space="preserve">Topptnivå</t>
  </si>
  <si>
    <t xml:space="preserve">Risikobudsjett - toppnivå</t>
  </si>
  <si>
    <t xml:space="preserve">Risikoscenario</t>
  </si>
  <si>
    <t xml:space="preserve">Beskrivelse</t>
  </si>
  <si>
    <t xml:space="preserve">Eier</t>
  </si>
  <si>
    <t xml:space="preserve">Vær og snø</t>
  </si>
  <si>
    <t xml:space="preserve">Ekstra snøproduksjon, værberedskap, omplanlegging</t>
  </si>
  <si>
    <t xml:space="preserve">Arena / sport</t>
  </si>
  <si>
    <t xml:space="preserve">Transport og trafikk</t>
  </si>
  <si>
    <t xml:space="preserve">Køhåndtering, shuttle-reserve, ekstra skilting og trafikkstyring</t>
  </si>
  <si>
    <t xml:space="preserve">Drift / transport</t>
  </si>
  <si>
    <t xml:space="preserve">HMS og sikkerhet</t>
  </si>
  <si>
    <t xml:space="preserve">Ekstra vakthold, sanitet, evakuering og beredskap</t>
  </si>
  <si>
    <t xml:space="preserve">HMS</t>
  </si>
  <si>
    <t xml:space="preserve">Teknisk og broadcast</t>
  </si>
  <si>
    <t xml:space="preserve">Reserveutstyr, nett, strøm og produksjonsbackup</t>
  </si>
  <si>
    <t xml:space="preserve">Media / teknisk</t>
  </si>
  <si>
    <t xml:space="preserve">Tryvann sosial aktivitet</t>
  </si>
  <si>
    <t xml:space="preserve">Utlånsutstyr, bemanning, sikkerhet og kapasitet</t>
  </si>
  <si>
    <t xml:space="preserve">Oslo kommune / Skimore</t>
  </si>
  <si>
    <t xml:space="preserve">Omdømme / kommunikasjon</t>
  </si>
  <si>
    <t xml:space="preserve">Kriseberedskap, naboinformasjon og ekstra kommunikasjonsstøtte</t>
  </si>
  <si>
    <t xml:space="preserve">Kommunikasjon</t>
  </si>
  <si>
    <t xml:space="preserve">Total risikoreserve</t>
  </si>
  <si>
    <t xml:space="preserve">Antakelser og rammer</t>
  </si>
  <si>
    <t xml:space="preserve">Tema</t>
  </si>
  <si>
    <t xml:space="preserve">Antakelse</t>
  </si>
  <si>
    <t xml:space="preserve">Tidsrom</t>
  </si>
  <si>
    <t xml:space="preserve">Budsjettet gjelder perioden juni 2026 til juni 2028 med hovedfokus på arrangementshelgen 3.-4. mars 2028.</t>
  </si>
  <si>
    <t xml:space="preserve">Prisnivå</t>
  </si>
  <si>
    <t xml:space="preserve">Beløp er grove estimater og må oppdateres etter tilbud, avtaler og finansieringsstatus.</t>
  </si>
  <si>
    <t xml:space="preserve">Omfang</t>
  </si>
  <si>
    <t xml:space="preserve">Ingen teamnedbrytning. Dette er kun toppnivå for prosjektstyring.</t>
  </si>
  <si>
    <t xml:space="preserve">Sosial aktivitet</t>
  </si>
  <si>
    <t xml:space="preserve">Tryvann-tiltaket inngår som egen sosial leveranse i arrangementshelgen.</t>
  </si>
  <si>
    <t xml:space="preserve">Risikostyring</t>
  </si>
  <si>
    <t xml:space="preserve">Risikobudsjett er en reservepott, ikke en garantert kostnad.</t>
  </si>
  <si>
    <t xml:space="preserve">Inntekter</t>
  </si>
  <si>
    <t xml:space="preserve">Billettinntekter er beregnet med 5 000 billetter per dag i to dager til 350 kroner. Totalbudsjettet er dimensjonert for ca. 10 % overskudd mot kostnadsrammen.</t>
  </si>
  <si>
    <t xml:space="preserve">Inntektsbudsjett - toppnivå</t>
  </si>
  <si>
    <t xml:space="preserve">Inntektskilde</t>
  </si>
  <si>
    <t xml:space="preserve">Volum</t>
  </si>
  <si>
    <t xml:space="preserve">Pris / sats</t>
  </si>
  <si>
    <t xml:space="preserve">Billetter dag 1</t>
  </si>
  <si>
    <t xml:space="preserve">Mål: ca. 5 000 solgte billetter per dag.</t>
  </si>
  <si>
    <t xml:space="preserve">Billetter dag 2</t>
  </si>
  <si>
    <t xml:space="preserve">Samme volum- og prisforutsetning som dag 1.</t>
  </si>
  <si>
    <t xml:space="preserve">Hovedsponsor og partnerpakker</t>
  </si>
  <si>
    <t xml:space="preserve">Tittelpartner, hovedpartnere, arenaprofilering og aktiveringspakker.</t>
  </si>
  <si>
    <t xml:space="preserve">TV- og medieinntekter</t>
  </si>
  <si>
    <t xml:space="preserve">Rettigheter, produksjonsbidrag og kommersielle medieflater.</t>
  </si>
  <si>
    <t xml:space="preserve">VIP / hospitality</t>
  </si>
  <si>
    <t xml:space="preserve">VIP-område, bedriftsplasser, servering og partnerarrangementer.</t>
  </si>
  <si>
    <t xml:space="preserve">Mat og drikke</t>
  </si>
  <si>
    <t xml:space="preserve">Netto salgsbidrag fra servering, kiosker og leverandøravtaler.</t>
  </si>
  <si>
    <t xml:space="preserve">Offentlige tilskudd / vertskapsbidrag</t>
  </si>
  <si>
    <t xml:space="preserve">Kommunale, regionale eller idrettslige tilskudd og arrangementsbidrag.</t>
  </si>
  <si>
    <t xml:space="preserve">Andre inntekter</t>
  </si>
  <si>
    <t xml:space="preserve">Merchandise, aktivitetsflater, utstillere og mindre kommersielle avtaler.</t>
  </si>
  <si>
    <t xml:space="preserve">Total inntekt</t>
  </si>
  <si>
    <t xml:space="preserve">Inntektsramme dimensjonert for ca. 10 % overskudd.</t>
  </si>
  <si>
    <t xml:space="preserve">Kostnadsramme</t>
  </si>
  <si>
    <t xml:space="preserve">Prosjektbudsjett + endringsbudsjett + risikobudsjett.</t>
  </si>
  <si>
    <t xml:space="preserve">Overskuddsmargin mot kostnad</t>
  </si>
  <si>
    <t xml:space="preserve">Merk: Sponsor, TV, VIP og øvrige inntekter må kontraktsfestes eller risikovektes i senere styringsversjoner.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</si>
</sst>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_);_(* \(#,##0\);_(* \-??_);_(@_)"/>
  </numFmts>
  <fonts count="7">
    <font>
      <sz val="11"/>
      <color rgb="FF1F2937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1"/>
      <color rgb="FF0F172A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2355B"/>
        <bgColor rgb="FF1F2937"/>
      </patternFill>
    </fill>
    <fill>
      <patternFill patternType="solid">
        <fgColor rgb="FFE6F2FF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/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2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F2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55B"/>
      <rgbColor rgb="FF339966"/>
      <rgbColor rgb="FF0F172A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58"/>
  </cols>
  <sheetData>
    <row r="1" customFormat="false" ht="22.05" hidden="false" customHeight="false" outlineLevel="0" collapsed="false">
      <c r="A1" s="1" t="s">
        <v>0</v>
      </c>
      <c r="B1" s="1"/>
      <c r="C1" s="1"/>
    </row>
    <row r="2" customFormat="false" ht="35.0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0" t="s">
        <v>5</v>
      </c>
      <c r="B5" s="4" t="n">
        <f aca="false">SUM(Prosjektbudsjett!B3:B12)</f>
        <v>29300000</v>
      </c>
      <c r="C5" s="0" t="s">
        <v>6</v>
      </c>
    </row>
    <row r="6" customFormat="false" ht="15" hidden="false" customHeight="false" outlineLevel="0" collapsed="false">
      <c r="A6" s="0" t="s">
        <v>7</v>
      </c>
      <c r="B6" s="4" t="n">
        <f aca="false">SUM(Endringsbudsjett!B3:B7)</f>
        <v>2350000</v>
      </c>
      <c r="C6" s="0" t="s">
        <v>8</v>
      </c>
    </row>
    <row r="7" customFormat="false" ht="15" hidden="false" customHeight="false" outlineLevel="0" collapsed="false">
      <c r="A7" s="0" t="s">
        <v>9</v>
      </c>
      <c r="B7" s="4" t="n">
        <f aca="false">SUM(Risikobudsjett!B3:B8)</f>
        <v>2900000</v>
      </c>
      <c r="C7" s="0" t="s">
        <v>10</v>
      </c>
    </row>
    <row r="8" customFormat="false" ht="15" hidden="false" customHeight="false" outlineLevel="0" collapsed="false">
      <c r="A8" s="0" t="s">
        <v>11</v>
      </c>
      <c r="B8" s="4" t="n">
        <f aca="false">B5+B6+B7</f>
        <v>34550000</v>
      </c>
      <c r="C8" s="0" t="s">
        <v>12</v>
      </c>
    </row>
    <row r="9" customFormat="false" ht="15" hidden="false" customHeight="false" outlineLevel="0" collapsed="false">
      <c r="A9" s="0" t="s">
        <v>13</v>
      </c>
      <c r="B9" s="4" t="n">
        <f aca="false">SUM(Inntektsbudsjett!D3:D10)</f>
        <v>38005000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4" t="n">
        <f aca="false">B9-B8</f>
        <v>3455000</v>
      </c>
      <c r="C10" s="0" t="s">
        <v>16</v>
      </c>
    </row>
    <row r="11" customFormat="false" ht="15" hidden="false" customHeight="false" outlineLevel="0" collapsed="false">
      <c r="A11" s="0" t="s">
        <v>17</v>
      </c>
      <c r="B11" s="0" t="n">
        <f aca="false">B10/B8</f>
        <v>0.1</v>
      </c>
      <c r="C11" s="0" t="s">
        <v>18</v>
      </c>
    </row>
    <row r="13" customFormat="false" ht="15" hidden="false" customHeight="false" outlineLevel="0" collapsed="false">
      <c r="A13" s="3" t="s">
        <v>19</v>
      </c>
    </row>
    <row r="14" customFormat="false" ht="15" hidden="false" customHeight="false" outlineLevel="0" collapsed="false">
      <c r="B14" s="0" t="s">
        <v>20</v>
      </c>
    </row>
    <row r="15" customFormat="false" ht="15" hidden="false" customHeight="false" outlineLevel="0" collapsed="false">
      <c r="B15" s="0" t="s">
        <v>21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72"/>
  </cols>
  <sheetData>
    <row r="1" customFormat="false" ht="30" hidden="false" customHeight="true" outlineLevel="0" collapsed="false">
      <c r="A1" s="5" t="s">
        <v>22</v>
      </c>
    </row>
    <row r="2" customFormat="false" ht="15" hidden="false" customHeight="false" outlineLevel="0" collapsed="false">
      <c r="A2" s="3" t="s">
        <v>23</v>
      </c>
      <c r="B2" s="3" t="s">
        <v>3</v>
      </c>
      <c r="C2" s="3" t="s">
        <v>24</v>
      </c>
      <c r="D2" s="3" t="s">
        <v>25</v>
      </c>
    </row>
    <row r="3" customFormat="false" ht="40" hidden="false" customHeight="true" outlineLevel="0" collapsed="false">
      <c r="A3" s="0" t="s">
        <v>26</v>
      </c>
      <c r="B3" s="4" t="n">
        <v>4500000</v>
      </c>
      <c r="C3" s="0" t="n">
        <f aca="false">B3/$B$13</f>
        <v>0.15358361774744</v>
      </c>
      <c r="D3" s="0" t="s">
        <v>27</v>
      </c>
    </row>
    <row r="4" customFormat="false" ht="40" hidden="false" customHeight="true" outlineLevel="0" collapsed="false">
      <c r="A4" s="0" t="s">
        <v>28</v>
      </c>
      <c r="B4" s="4" t="n">
        <v>6200000</v>
      </c>
      <c r="C4" s="0" t="n">
        <f aca="false">B4/$B$13</f>
        <v>0.21160409556314</v>
      </c>
      <c r="D4" s="0" t="s">
        <v>29</v>
      </c>
    </row>
    <row r="5" customFormat="false" ht="40" hidden="false" customHeight="true" outlineLevel="0" collapsed="false">
      <c r="A5" s="0" t="s">
        <v>30</v>
      </c>
      <c r="B5" s="4" t="n">
        <v>2100000</v>
      </c>
      <c r="C5" s="0" t="n">
        <f aca="false">B5/$B$13</f>
        <v>0.0716723549488055</v>
      </c>
      <c r="D5" s="0" t="s">
        <v>31</v>
      </c>
    </row>
    <row r="6" customFormat="false" ht="40" hidden="false" customHeight="true" outlineLevel="0" collapsed="false">
      <c r="A6" s="0" t="s">
        <v>32</v>
      </c>
      <c r="B6" s="4" t="n">
        <v>2600000</v>
      </c>
      <c r="C6" s="0" t="n">
        <f aca="false">B6/$B$13</f>
        <v>0.0887372013651877</v>
      </c>
      <c r="D6" s="0" t="s">
        <v>33</v>
      </c>
    </row>
    <row r="7" customFormat="false" ht="40" hidden="false" customHeight="true" outlineLevel="0" collapsed="false">
      <c r="A7" s="0" t="s">
        <v>34</v>
      </c>
      <c r="B7" s="4" t="n">
        <v>3900000</v>
      </c>
      <c r="C7" s="0" t="n">
        <f aca="false">B7/$B$13</f>
        <v>0.133105802047782</v>
      </c>
      <c r="D7" s="0" t="s">
        <v>35</v>
      </c>
    </row>
    <row r="8" customFormat="false" ht="40" hidden="false" customHeight="true" outlineLevel="0" collapsed="false">
      <c r="A8" s="0" t="s">
        <v>36</v>
      </c>
      <c r="B8" s="4" t="n">
        <v>1700000</v>
      </c>
      <c r="C8" s="0" t="n">
        <f aca="false">B8/$B$13</f>
        <v>0.0580204778156997</v>
      </c>
      <c r="D8" s="0" t="s">
        <v>37</v>
      </c>
    </row>
    <row r="9" customFormat="false" ht="40" hidden="false" customHeight="true" outlineLevel="0" collapsed="false">
      <c r="A9" s="0" t="s">
        <v>38</v>
      </c>
      <c r="B9" s="4" t="n">
        <v>1300000</v>
      </c>
      <c r="C9" s="0" t="n">
        <f aca="false">B9/$B$13</f>
        <v>0.0443686006825939</v>
      </c>
      <c r="D9" s="0" t="s">
        <v>39</v>
      </c>
    </row>
    <row r="10" customFormat="false" ht="40" hidden="false" customHeight="true" outlineLevel="0" collapsed="false">
      <c r="A10" s="0" t="s">
        <v>40</v>
      </c>
      <c r="B10" s="4" t="n">
        <v>1600000</v>
      </c>
      <c r="C10" s="0" t="n">
        <f aca="false">B10/$B$13</f>
        <v>0.0546075085324232</v>
      </c>
      <c r="D10" s="0" t="s">
        <v>41</v>
      </c>
    </row>
    <row r="11" customFormat="false" ht="40" hidden="false" customHeight="true" outlineLevel="0" collapsed="false">
      <c r="A11" s="0" t="s">
        <v>42</v>
      </c>
      <c r="B11" s="4" t="n">
        <v>2800000</v>
      </c>
      <c r="C11" s="0" t="n">
        <f aca="false">B11/$B$13</f>
        <v>0.0955631399317406</v>
      </c>
      <c r="D11" s="0" t="s">
        <v>43</v>
      </c>
    </row>
    <row r="12" customFormat="false" ht="40" hidden="false" customHeight="true" outlineLevel="0" collapsed="false">
      <c r="A12" s="0" t="s">
        <v>44</v>
      </c>
      <c r="B12" s="4" t="n">
        <v>2600000</v>
      </c>
      <c r="C12" s="0" t="n">
        <f aca="false">B12/$B$13</f>
        <v>0.0887372013651877</v>
      </c>
      <c r="D12" s="0" t="s">
        <v>45</v>
      </c>
    </row>
    <row r="13" customFormat="false" ht="40" hidden="false" customHeight="true" outlineLevel="0" collapsed="false">
      <c r="A13" s="0" t="s">
        <v>46</v>
      </c>
      <c r="B13" s="4" t="n">
        <f aca="false">SUM(B3:B12)</f>
        <v>29300000</v>
      </c>
      <c r="C13" s="0" t="s">
        <v>47</v>
      </c>
      <c r="D13" s="0" t="s">
        <v>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24"/>
  </cols>
  <sheetData>
    <row r="1" customFormat="false" ht="30" hidden="false" customHeight="true" outlineLevel="0" collapsed="false">
      <c r="A1" s="5" t="s">
        <v>49</v>
      </c>
    </row>
    <row r="2" customFormat="false" ht="15" hidden="false" customHeight="false" outlineLevel="0" collapsed="false">
      <c r="A2" s="3" t="s">
        <v>23</v>
      </c>
      <c r="B2" s="3" t="s">
        <v>3</v>
      </c>
      <c r="C2" s="3" t="s">
        <v>50</v>
      </c>
      <c r="D2" s="3" t="s">
        <v>51</v>
      </c>
    </row>
    <row r="3" customFormat="false" ht="38" hidden="false" customHeight="true" outlineLevel="0" collapsed="false">
      <c r="A3" s="0" t="s">
        <v>52</v>
      </c>
      <c r="B3" s="4" t="n">
        <v>350000</v>
      </c>
      <c r="C3" s="0" t="s">
        <v>53</v>
      </c>
      <c r="D3" s="0" t="s">
        <v>54</v>
      </c>
    </row>
    <row r="4" customFormat="false" ht="38" hidden="false" customHeight="true" outlineLevel="0" collapsed="false">
      <c r="A4" s="0" t="s">
        <v>55</v>
      </c>
      <c r="B4" s="4" t="n">
        <v>700000</v>
      </c>
      <c r="C4" s="0" t="s">
        <v>56</v>
      </c>
      <c r="D4" s="0" t="s">
        <v>57</v>
      </c>
    </row>
    <row r="5" customFormat="false" ht="38" hidden="false" customHeight="true" outlineLevel="0" collapsed="false">
      <c r="A5" s="0" t="s">
        <v>58</v>
      </c>
      <c r="B5" s="4" t="n">
        <v>900000</v>
      </c>
      <c r="C5" s="0" t="s">
        <v>59</v>
      </c>
      <c r="D5" s="0" t="s">
        <v>60</v>
      </c>
    </row>
    <row r="6" customFormat="false" ht="38" hidden="false" customHeight="true" outlineLevel="0" collapsed="false">
      <c r="A6" s="0" t="s">
        <v>61</v>
      </c>
      <c r="B6" s="4" t="n">
        <v>250000</v>
      </c>
      <c r="C6" s="0" t="s">
        <v>62</v>
      </c>
      <c r="D6" s="0" t="s">
        <v>63</v>
      </c>
    </row>
    <row r="7" customFormat="false" ht="38" hidden="false" customHeight="true" outlineLevel="0" collapsed="false">
      <c r="A7" s="0" t="s">
        <v>64</v>
      </c>
      <c r="B7" s="4" t="n">
        <v>150000</v>
      </c>
      <c r="C7" s="0" t="s">
        <v>65</v>
      </c>
      <c r="D7" s="0" t="s">
        <v>54</v>
      </c>
    </row>
    <row r="8" customFormat="false" ht="38" hidden="false" customHeight="true" outlineLevel="0" collapsed="false">
      <c r="A8" s="0" t="s">
        <v>66</v>
      </c>
      <c r="B8" s="4" t="n">
        <f aca="false">SUM(B3:B7)</f>
        <v>2350000</v>
      </c>
      <c r="D8" s="0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24"/>
  </cols>
  <sheetData>
    <row r="1" customFormat="false" ht="30" hidden="false" customHeight="true" outlineLevel="0" collapsed="false">
      <c r="A1" s="5" t="s">
        <v>68</v>
      </c>
    </row>
    <row r="2" customFormat="false" ht="15" hidden="false" customHeight="false" outlineLevel="0" collapsed="false">
      <c r="A2" s="3" t="s">
        <v>69</v>
      </c>
      <c r="B2" s="3" t="s">
        <v>3</v>
      </c>
      <c r="C2" s="3" t="s">
        <v>70</v>
      </c>
      <c r="D2" s="3" t="s">
        <v>71</v>
      </c>
    </row>
    <row r="3" customFormat="false" ht="38" hidden="false" customHeight="true" outlineLevel="0" collapsed="false">
      <c r="A3" s="0" t="s">
        <v>72</v>
      </c>
      <c r="B3" s="4" t="n">
        <v>800000</v>
      </c>
      <c r="C3" s="0" t="s">
        <v>73</v>
      </c>
      <c r="D3" s="0" t="s">
        <v>74</v>
      </c>
    </row>
    <row r="4" customFormat="false" ht="38" hidden="false" customHeight="true" outlineLevel="0" collapsed="false">
      <c r="A4" s="0" t="s">
        <v>75</v>
      </c>
      <c r="B4" s="4" t="n">
        <v>450000</v>
      </c>
      <c r="C4" s="0" t="s">
        <v>76</v>
      </c>
      <c r="D4" s="0" t="s">
        <v>77</v>
      </c>
    </row>
    <row r="5" customFormat="false" ht="38" hidden="false" customHeight="true" outlineLevel="0" collapsed="false">
      <c r="A5" s="0" t="s">
        <v>78</v>
      </c>
      <c r="B5" s="4" t="n">
        <v>650000</v>
      </c>
      <c r="C5" s="0" t="s">
        <v>79</v>
      </c>
      <c r="D5" s="0" t="s">
        <v>80</v>
      </c>
    </row>
    <row r="6" customFormat="false" ht="38" hidden="false" customHeight="true" outlineLevel="0" collapsed="false">
      <c r="A6" s="0" t="s">
        <v>81</v>
      </c>
      <c r="B6" s="4" t="n">
        <v>500000</v>
      </c>
      <c r="C6" s="0" t="s">
        <v>82</v>
      </c>
      <c r="D6" s="0" t="s">
        <v>83</v>
      </c>
    </row>
    <row r="7" customFormat="false" ht="38" hidden="false" customHeight="true" outlineLevel="0" collapsed="false">
      <c r="A7" s="0" t="s">
        <v>84</v>
      </c>
      <c r="B7" s="4" t="n">
        <v>300000</v>
      </c>
      <c r="C7" s="0" t="s">
        <v>85</v>
      </c>
      <c r="D7" s="0" t="s">
        <v>86</v>
      </c>
    </row>
    <row r="8" customFormat="false" ht="38" hidden="false" customHeight="true" outlineLevel="0" collapsed="false">
      <c r="A8" s="0" t="s">
        <v>87</v>
      </c>
      <c r="B8" s="4" t="n">
        <v>200000</v>
      </c>
      <c r="C8" s="0" t="s">
        <v>88</v>
      </c>
      <c r="D8" s="0" t="s">
        <v>89</v>
      </c>
    </row>
    <row r="9" customFormat="false" ht="38" hidden="false" customHeight="true" outlineLevel="0" collapsed="false">
      <c r="A9" s="0" t="s">
        <v>90</v>
      </c>
      <c r="B9" s="4" t="n">
        <f aca="false">SUM(B3:B8)</f>
        <v>2900000</v>
      </c>
      <c r="D9" s="0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4"/>
  </cols>
  <sheetData>
    <row r="1" customFormat="false" ht="30" hidden="false" customHeight="true" outlineLevel="0" collapsed="false">
      <c r="A1" s="5" t="s">
        <v>91</v>
      </c>
    </row>
    <row r="2" customFormat="false" ht="15" hidden="false" customHeight="false" outlineLevel="0" collapsed="false">
      <c r="A2" s="3" t="s">
        <v>92</v>
      </c>
      <c r="B2" s="3" t="s">
        <v>93</v>
      </c>
    </row>
    <row r="3" customFormat="false" ht="34" hidden="false" customHeight="true" outlineLevel="0" collapsed="false">
      <c r="A3" s="0" t="s">
        <v>94</v>
      </c>
      <c r="B3" s="0" t="s">
        <v>95</v>
      </c>
    </row>
    <row r="4" customFormat="false" ht="34" hidden="false" customHeight="true" outlineLevel="0" collapsed="false">
      <c r="A4" s="0" t="s">
        <v>96</v>
      </c>
      <c r="B4" s="0" t="s">
        <v>97</v>
      </c>
    </row>
    <row r="5" customFormat="false" ht="34" hidden="false" customHeight="true" outlineLevel="0" collapsed="false">
      <c r="A5" s="0" t="s">
        <v>98</v>
      </c>
      <c r="B5" s="0" t="s">
        <v>99</v>
      </c>
    </row>
    <row r="6" customFormat="false" ht="34" hidden="false" customHeight="true" outlineLevel="0" collapsed="false">
      <c r="A6" s="0" t="s">
        <v>100</v>
      </c>
      <c r="B6" s="0" t="s">
        <v>101</v>
      </c>
    </row>
    <row r="7" customFormat="false" ht="34" hidden="false" customHeight="true" outlineLevel="0" collapsed="false">
      <c r="A7" s="0" t="s">
        <v>102</v>
      </c>
      <c r="B7" s="0" t="s">
        <v>103</v>
      </c>
    </row>
    <row r="8" customFormat="false" ht="15" hidden="false" customHeight="false" outlineLevel="0" collapsed="false">
      <c r="A8" s="0" t="s">
        <v>104</v>
      </c>
      <c r="B8" s="0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58"/>
  </cols>
  <sheetData>
    <row r="1" customFormat="false" ht="22.05" hidden="false" customHeight="false" outlineLevel="0" collapsed="false">
      <c r="A1" s="5" t="s">
        <v>106</v>
      </c>
    </row>
    <row r="2" customFormat="false" ht="15" hidden="false" customHeight="false" outlineLevel="0" collapsed="false">
      <c r="A2" s="3" t="s">
        <v>107</v>
      </c>
      <c r="B2" s="3" t="s">
        <v>108</v>
      </c>
      <c r="C2" s="3" t="s">
        <v>109</v>
      </c>
      <c r="D2" s="3" t="s">
        <v>3</v>
      </c>
      <c r="E2" s="3" t="s">
        <v>25</v>
      </c>
    </row>
    <row r="3" customFormat="false" ht="15" hidden="false" customHeight="false" outlineLevel="0" collapsed="false">
      <c r="A3" s="0" t="s">
        <v>110</v>
      </c>
      <c r="B3" s="0" t="n">
        <v>5000</v>
      </c>
      <c r="C3" s="4" t="n">
        <v>350</v>
      </c>
      <c r="D3" s="4" t="n">
        <f aca="false">B3*C3</f>
        <v>1750000</v>
      </c>
      <c r="E3" s="0" t="s">
        <v>111</v>
      </c>
    </row>
    <row r="4" customFormat="false" ht="15" hidden="false" customHeight="false" outlineLevel="0" collapsed="false">
      <c r="A4" s="0" t="s">
        <v>112</v>
      </c>
      <c r="B4" s="0" t="n">
        <v>5000</v>
      </c>
      <c r="C4" s="4" t="n">
        <v>350</v>
      </c>
      <c r="D4" s="4" t="n">
        <f aca="false">B4*C4</f>
        <v>1750000</v>
      </c>
      <c r="E4" s="0" t="s">
        <v>113</v>
      </c>
    </row>
    <row r="5" customFormat="false" ht="15" hidden="false" customHeight="false" outlineLevel="0" collapsed="false">
      <c r="A5" s="0" t="s">
        <v>114</v>
      </c>
      <c r="D5" s="4" t="n">
        <v>18000000</v>
      </c>
      <c r="E5" s="0" t="s">
        <v>115</v>
      </c>
    </row>
    <row r="6" customFormat="false" ht="15" hidden="false" customHeight="false" outlineLevel="0" collapsed="false">
      <c r="A6" s="0" t="s">
        <v>116</v>
      </c>
      <c r="D6" s="4" t="n">
        <v>9000000</v>
      </c>
      <c r="E6" s="0" t="s">
        <v>117</v>
      </c>
    </row>
    <row r="7" customFormat="false" ht="15" hidden="false" customHeight="false" outlineLevel="0" collapsed="false">
      <c r="A7" s="0" t="s">
        <v>118</v>
      </c>
      <c r="D7" s="4" t="n">
        <v>4000000</v>
      </c>
      <c r="E7" s="0" t="s">
        <v>119</v>
      </c>
    </row>
    <row r="8" customFormat="false" ht="15" hidden="false" customHeight="false" outlineLevel="0" collapsed="false">
      <c r="A8" s="0" t="s">
        <v>120</v>
      </c>
      <c r="D8" s="4" t="n">
        <v>1500000</v>
      </c>
      <c r="E8" s="0" t="s">
        <v>121</v>
      </c>
    </row>
    <row r="9" customFormat="false" ht="15" hidden="false" customHeight="false" outlineLevel="0" collapsed="false">
      <c r="A9" s="0" t="s">
        <v>122</v>
      </c>
      <c r="D9" s="4" t="n">
        <v>1500000</v>
      </c>
      <c r="E9" s="0" t="s">
        <v>123</v>
      </c>
    </row>
    <row r="10" customFormat="false" ht="15" hidden="false" customHeight="false" outlineLevel="0" collapsed="false">
      <c r="A10" s="0" t="s">
        <v>124</v>
      </c>
      <c r="D10" s="4" t="n">
        <v>505000</v>
      </c>
      <c r="E10" s="0" t="s">
        <v>125</v>
      </c>
    </row>
    <row r="11" customFormat="false" ht="15" hidden="false" customHeight="false" outlineLevel="0" collapsed="false">
      <c r="A11" s="0" t="s">
        <v>126</v>
      </c>
      <c r="D11" s="4" t="n">
        <f aca="false">SUM(D3:D10)</f>
        <v>38005000</v>
      </c>
      <c r="E11" s="0" t="s">
        <v>127</v>
      </c>
    </row>
    <row r="13" customFormat="false" ht="15" hidden="false" customHeight="false" outlineLevel="0" collapsed="false">
      <c r="A13" s="0" t="s">
        <v>128</v>
      </c>
      <c r="D13" s="4" t="n">
        <f aca="false">Dashboard!B8</f>
        <v>34550000</v>
      </c>
      <c r="E13" s="0" t="s">
        <v>129</v>
      </c>
    </row>
    <row r="14" customFormat="false" ht="15" hidden="false" customHeight="false" outlineLevel="0" collapsed="false">
      <c r="A14" s="0" t="s">
        <v>15</v>
      </c>
      <c r="D14" s="4" t="n">
        <f aca="false">D11-D13</f>
        <v>3455000</v>
      </c>
    </row>
    <row r="15" customFormat="false" ht="15" hidden="false" customHeight="false" outlineLevel="0" collapsed="false">
      <c r="A15" s="0" t="s">
        <v>130</v>
      </c>
      <c r="D15" s="0" t="n">
        <f aca="false">D14/D13</f>
        <v>0.1</v>
      </c>
    </row>
    <row r="17" customFormat="false" ht="15" hidden="false" customHeight="false" outlineLevel="0" collapsed="false">
      <c r="A17" s="0" t="s">
        <v>131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nb-NO</dc:language>
  <cp:lastModifiedBy/>
  <cp:revision>0</cp:revision>
  <dc:subject/>
  <dc:title/>
</cp:coreProperties>
</file>